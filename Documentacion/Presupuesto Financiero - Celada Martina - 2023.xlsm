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6.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harts/chart5.xml" ContentType="application/vnd.openxmlformats-officedocument.drawingml.chart+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drawings/drawing8.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drawings/drawing9.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2.xml" ContentType="application/vnd.openxmlformats-officedocument.spreadsheetml.comments+xml"/>
  <Override PartName="/xl/drawings/drawing10.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11.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comments3.xml" ContentType="application/vnd.openxmlformats-officedocument.spreadsheetml.comments+xml"/>
  <Override PartName="/xl/drawings/drawing12.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4.xml" ContentType="application/vnd.openxmlformats-officedocument.spreadsheetml.comments+xml"/>
  <Override PartName="/xl/drawings/drawing13.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4.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6.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7.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19.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Users\mcelada\Desktop\SAP - TFI - Auditoria 2023\TFI\Mati\Entrega Final Tesis Negocio\Entrega Final Tesis Negocio\"/>
    </mc:Choice>
  </mc:AlternateContent>
  <xr:revisionPtr revIDLastSave="0" documentId="13_ncr:1_{F306580B-ED4B-45E9-848E-5D91FD638ACA}" xr6:coauthVersionLast="47" xr6:coauthVersionMax="47" xr10:uidLastSave="{00000000-0000-0000-0000-000000000000}"/>
  <bookViews>
    <workbookView xWindow="-108" yWindow="-108" windowWidth="23256" windowHeight="12576" tabRatio="845" firstSheet="5" activeTab="5" xr2:uid="{00000000-000D-0000-FFFF-FFFF00000000}"/>
  </bookViews>
  <sheets>
    <sheet name="Carátula" sheetId="1" r:id="rId1"/>
    <sheet name="Hipótesis" sheetId="3" r:id="rId2"/>
    <sheet name="Índice" sheetId="2" r:id="rId3"/>
    <sheet name="Proyección de ventas" sheetId="4" r:id="rId4"/>
    <sheet name="Anexo - Capacidad operativa" sheetId="5" r:id="rId5"/>
    <sheet name="Modelo de ingresos" sheetId="6" r:id="rId6"/>
    <sheet name="Costos fijos" sheetId="7" r:id="rId7"/>
    <sheet name="Costos variables" sheetId="8" r:id="rId8"/>
    <sheet name="Costos RRHH" sheetId="9" r:id="rId9"/>
    <sheet name="Modelo de egresos" sheetId="10" r:id="rId10"/>
    <sheet name="Modelo de inversión" sheetId="11" r:id="rId11"/>
    <sheet name="Amortización" sheetId="12" r:id="rId12"/>
    <sheet name="Presupuesto financiero" sheetId="13" r:id="rId13"/>
    <sheet name="Matriz de riesgo" sheetId="14" r:id="rId14"/>
    <sheet name="Escenario nro 1" sheetId="15" r:id="rId15"/>
    <sheet name="Escenario nro 2" sheetId="16" r:id="rId16"/>
    <sheet name="Escenario nro 3" sheetId="17" r:id="rId17"/>
    <sheet name="Plan de contingencia" sheetId="20" r:id="rId18"/>
    <sheet name="Hoja auxiliar" sheetId="21"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99" i="8" l="1"/>
  <c r="X99" i="8"/>
  <c r="V99" i="8"/>
  <c r="T99" i="8"/>
  <c r="R99" i="8"/>
  <c r="P99" i="8"/>
  <c r="N99" i="8"/>
  <c r="L99" i="8"/>
  <c r="J99" i="8"/>
  <c r="H99" i="8"/>
  <c r="F99" i="8"/>
  <c r="D99" i="8"/>
  <c r="Z77" i="8"/>
  <c r="X77" i="8"/>
  <c r="V77" i="8"/>
  <c r="T77" i="8"/>
  <c r="R77" i="8"/>
  <c r="P77" i="8"/>
  <c r="N77" i="8"/>
  <c r="L77" i="8"/>
  <c r="J77" i="8"/>
  <c r="H77" i="8"/>
  <c r="F77" i="8"/>
  <c r="D77" i="8"/>
  <c r="Z55" i="8"/>
  <c r="X55" i="8"/>
  <c r="V55" i="8"/>
  <c r="T55" i="8"/>
  <c r="R55" i="8"/>
  <c r="P55" i="8"/>
  <c r="N55" i="8"/>
  <c r="L55" i="8"/>
  <c r="J55" i="8"/>
  <c r="H55" i="8"/>
  <c r="F55" i="8"/>
  <c r="D55" i="8"/>
  <c r="F56" i="5"/>
  <c r="F60" i="5"/>
  <c r="B17" i="6"/>
  <c r="B15" i="6"/>
  <c r="E77" i="5"/>
  <c r="E76" i="5"/>
  <c r="E68" i="5"/>
  <c r="E67" i="5"/>
  <c r="E58" i="5"/>
  <c r="E57" i="5"/>
  <c r="B146" i="4" l="1"/>
  <c r="B144" i="4"/>
  <c r="A146" i="4"/>
  <c r="A144" i="4"/>
  <c r="B96" i="4"/>
  <c r="B94" i="4"/>
  <c r="B92" i="4"/>
  <c r="A94" i="4"/>
  <c r="A92" i="4"/>
  <c r="B45" i="4"/>
  <c r="B43" i="4"/>
  <c r="A43" i="4"/>
  <c r="A41" i="4"/>
  <c r="B41" i="4"/>
  <c r="E17" i="11" l="1"/>
  <c r="AA110" i="8"/>
  <c r="Y110" i="8"/>
  <c r="W110" i="8"/>
  <c r="U110" i="8"/>
  <c r="S110" i="8"/>
  <c r="Q110" i="8"/>
  <c r="O110" i="8"/>
  <c r="M110" i="8"/>
  <c r="K110" i="8"/>
  <c r="I110" i="8"/>
  <c r="G110" i="8"/>
  <c r="E110" i="8"/>
  <c r="AA88" i="8"/>
  <c r="Y88" i="8"/>
  <c r="W88" i="8"/>
  <c r="U88" i="8"/>
  <c r="S88" i="8"/>
  <c r="Q88" i="8"/>
  <c r="O88" i="8"/>
  <c r="M88" i="8"/>
  <c r="K88" i="8"/>
  <c r="I88" i="8"/>
  <c r="G88" i="8"/>
  <c r="E88" i="8"/>
  <c r="AA66" i="8"/>
  <c r="Y66" i="8"/>
  <c r="W66" i="8"/>
  <c r="U66" i="8"/>
  <c r="S66" i="8"/>
  <c r="Q66" i="8"/>
  <c r="O66" i="8"/>
  <c r="M66" i="8"/>
  <c r="K66" i="8"/>
  <c r="I66" i="8"/>
  <c r="G66" i="8"/>
  <c r="E66" i="8"/>
  <c r="G143" i="4"/>
  <c r="G91" i="4"/>
  <c r="E37" i="20"/>
  <c r="H22" i="20"/>
  <c r="G22" i="20"/>
  <c r="F22" i="20"/>
  <c r="E22" i="20"/>
  <c r="H19" i="20"/>
  <c r="G19" i="20"/>
  <c r="F19" i="20"/>
  <c r="E19" i="20"/>
  <c r="H15" i="20"/>
  <c r="G15" i="20"/>
  <c r="F15" i="20"/>
  <c r="H8" i="20"/>
  <c r="G8" i="20"/>
  <c r="F8" i="20"/>
  <c r="H7" i="20"/>
  <c r="G7" i="20"/>
  <c r="F7" i="20"/>
  <c r="J15" i="20"/>
  <c r="J11" i="20"/>
  <c r="J7" i="20"/>
  <c r="K15" i="17"/>
  <c r="K11" i="17"/>
  <c r="K7" i="17"/>
  <c r="H22" i="17"/>
  <c r="G22" i="17"/>
  <c r="F22" i="17"/>
  <c r="E22" i="17"/>
  <c r="H19" i="17"/>
  <c r="G19" i="17"/>
  <c r="F19" i="17"/>
  <c r="E19" i="17"/>
  <c r="H15" i="17"/>
  <c r="G15" i="17"/>
  <c r="F15" i="17"/>
  <c r="H8" i="17"/>
  <c r="G8" i="17"/>
  <c r="F8" i="17"/>
  <c r="H7" i="17"/>
  <c r="G7" i="17"/>
  <c r="F7" i="17"/>
  <c r="K15" i="16"/>
  <c r="K11" i="16"/>
  <c r="K7" i="16"/>
  <c r="H22" i="16"/>
  <c r="G22" i="16"/>
  <c r="F22" i="16"/>
  <c r="E22" i="16"/>
  <c r="H19" i="16"/>
  <c r="G19" i="16"/>
  <c r="F19" i="16"/>
  <c r="E19" i="16"/>
  <c r="H15" i="16"/>
  <c r="G15" i="16"/>
  <c r="F15" i="16"/>
  <c r="H8" i="16"/>
  <c r="G8" i="16"/>
  <c r="F8" i="16"/>
  <c r="H7" i="16"/>
  <c r="G7" i="16"/>
  <c r="F7" i="16"/>
  <c r="H22" i="15"/>
  <c r="G22" i="15"/>
  <c r="F22" i="15"/>
  <c r="E22" i="15"/>
  <c r="H19" i="15"/>
  <c r="G19" i="15"/>
  <c r="E19" i="15"/>
  <c r="F19" i="15"/>
  <c r="H15" i="15"/>
  <c r="G15" i="15"/>
  <c r="F15" i="15"/>
  <c r="K15" i="15"/>
  <c r="K11" i="15"/>
  <c r="K7" i="15"/>
  <c r="H8" i="15"/>
  <c r="G8" i="15"/>
  <c r="F8" i="15"/>
  <c r="H7" i="15"/>
  <c r="G7" i="15"/>
  <c r="F7" i="15"/>
  <c r="AB110" i="8" l="1"/>
  <c r="J11" i="21" s="1"/>
  <c r="AB88" i="8"/>
  <c r="I11" i="21" s="1"/>
  <c r="AB66" i="8"/>
  <c r="H11" i="21" s="1"/>
  <c r="G40" i="4" l="1"/>
  <c r="C8" i="13" l="1"/>
  <c r="C7" i="13"/>
  <c r="C6" i="13"/>
  <c r="B7" i="13"/>
  <c r="B8" i="13"/>
  <c r="B6" i="13"/>
  <c r="E35" i="12"/>
  <c r="E34" i="12"/>
  <c r="E33" i="12"/>
  <c r="E32" i="12"/>
  <c r="D35" i="12"/>
  <c r="I35" i="12" s="1"/>
  <c r="M35" i="12" s="1"/>
  <c r="D34" i="12"/>
  <c r="D33" i="12"/>
  <c r="D32" i="12"/>
  <c r="E31" i="12"/>
  <c r="E30" i="12"/>
  <c r="E29" i="12"/>
  <c r="D31" i="12"/>
  <c r="D30" i="12"/>
  <c r="D29" i="12"/>
  <c r="E28" i="12"/>
  <c r="E27" i="12"/>
  <c r="E26" i="12"/>
  <c r="E25" i="12"/>
  <c r="D28" i="12"/>
  <c r="J28" i="12" s="1"/>
  <c r="D27" i="12"/>
  <c r="H27" i="12" s="1"/>
  <c r="L27" i="12" s="1"/>
  <c r="D26" i="12"/>
  <c r="J26" i="12" s="1"/>
  <c r="D25" i="12"/>
  <c r="E24" i="12"/>
  <c r="E23" i="12"/>
  <c r="E22" i="12"/>
  <c r="D24" i="12"/>
  <c r="J24" i="12" s="1"/>
  <c r="D23" i="12"/>
  <c r="D22" i="12"/>
  <c r="E21" i="12"/>
  <c r="E20" i="12"/>
  <c r="E19" i="12"/>
  <c r="D21" i="12"/>
  <c r="D20" i="12"/>
  <c r="D19" i="12"/>
  <c r="E18" i="12"/>
  <c r="E17" i="12"/>
  <c r="E16" i="12"/>
  <c r="E15" i="12"/>
  <c r="E14" i="12"/>
  <c r="E13" i="12"/>
  <c r="D18" i="12"/>
  <c r="D17" i="12"/>
  <c r="D16" i="12"/>
  <c r="D15" i="12"/>
  <c r="D14" i="12"/>
  <c r="D13" i="12"/>
  <c r="C7" i="12"/>
  <c r="C8" i="12"/>
  <c r="C6" i="12"/>
  <c r="B7" i="12"/>
  <c r="B8" i="12"/>
  <c r="B6" i="12"/>
  <c r="H17" i="12" l="1"/>
  <c r="M17" i="12" s="1"/>
  <c r="H32" i="12"/>
  <c r="I33" i="12"/>
  <c r="M33" i="12" s="1"/>
  <c r="I25" i="12"/>
  <c r="M25" i="12" s="1"/>
  <c r="H29" i="12"/>
  <c r="L29" i="12" s="1"/>
  <c r="H34" i="12"/>
  <c r="M34" i="12" s="1"/>
  <c r="H14" i="12"/>
  <c r="L14" i="12" s="1"/>
  <c r="H20" i="12"/>
  <c r="L20" i="12" s="1"/>
  <c r="J21" i="12"/>
  <c r="G22" i="12"/>
  <c r="K22" i="12" s="1"/>
  <c r="I30" i="12"/>
  <c r="M30" i="12" s="1"/>
  <c r="J18" i="12"/>
  <c r="G19" i="12"/>
  <c r="M19" i="12" s="1"/>
  <c r="H23" i="12"/>
  <c r="L23" i="12" s="1"/>
  <c r="L32" i="12"/>
  <c r="M32" i="12"/>
  <c r="L34" i="12"/>
  <c r="J31" i="12"/>
  <c r="G16" i="12"/>
  <c r="L16" i="12" s="1"/>
  <c r="J15" i="12"/>
  <c r="M20" i="12"/>
  <c r="M29" i="12"/>
  <c r="L22" i="12"/>
  <c r="M27" i="12"/>
  <c r="M23" i="12"/>
  <c r="K16" i="12" l="1"/>
  <c r="L17" i="12"/>
  <c r="L19" i="12"/>
  <c r="M22" i="12"/>
  <c r="M14" i="12"/>
  <c r="K19" i="12"/>
  <c r="M16" i="12"/>
  <c r="E66" i="11"/>
  <c r="E65" i="11"/>
  <c r="E64" i="11"/>
  <c r="E63" i="11"/>
  <c r="E62" i="11"/>
  <c r="E61" i="11"/>
  <c r="E60" i="11"/>
  <c r="E59" i="11"/>
  <c r="E58" i="11"/>
  <c r="E57" i="11"/>
  <c r="E56" i="11"/>
  <c r="E55" i="11"/>
  <c r="E50" i="11"/>
  <c r="E49" i="11"/>
  <c r="E48" i="11"/>
  <c r="E47" i="11"/>
  <c r="E46" i="11"/>
  <c r="E45" i="11"/>
  <c r="E44" i="11"/>
  <c r="E43" i="11"/>
  <c r="E42" i="11"/>
  <c r="E41" i="11"/>
  <c r="E40" i="11"/>
  <c r="E39" i="11"/>
  <c r="E24" i="11"/>
  <c r="E25" i="11"/>
  <c r="E26" i="11"/>
  <c r="E27" i="11"/>
  <c r="E28" i="11"/>
  <c r="E29" i="11"/>
  <c r="E30" i="11"/>
  <c r="E31" i="11"/>
  <c r="E32" i="11"/>
  <c r="E33" i="11"/>
  <c r="E34" i="11"/>
  <c r="E67" i="11" l="1"/>
  <c r="K5" i="11" s="1"/>
  <c r="E51" i="11"/>
  <c r="J5" i="11" s="1"/>
  <c r="E15" i="11"/>
  <c r="C7" i="11"/>
  <c r="C6" i="11"/>
  <c r="C5" i="11"/>
  <c r="B7" i="11"/>
  <c r="B6" i="11"/>
  <c r="B5" i="11"/>
  <c r="L6" i="10"/>
  <c r="G13" i="12"/>
  <c r="E23" i="11"/>
  <c r="E18" i="11"/>
  <c r="E16" i="11"/>
  <c r="E14" i="11"/>
  <c r="E13" i="11"/>
  <c r="E12" i="11"/>
  <c r="G20" i="17" l="1"/>
  <c r="G31" i="17" s="1"/>
  <c r="G20" i="15"/>
  <c r="G31" i="15" s="1"/>
  <c r="G20" i="16"/>
  <c r="G31" i="16" s="1"/>
  <c r="G20" i="20"/>
  <c r="G31" i="20" s="1"/>
  <c r="F20" i="13"/>
  <c r="H20" i="16"/>
  <c r="H31" i="16" s="1"/>
  <c r="H20" i="20"/>
  <c r="H31" i="20" s="1"/>
  <c r="H20" i="17"/>
  <c r="H31" i="17" s="1"/>
  <c r="H20" i="15"/>
  <c r="H31" i="15" s="1"/>
  <c r="G20" i="13"/>
  <c r="M13" i="12"/>
  <c r="M36" i="12" s="1"/>
  <c r="J6" i="12" s="1"/>
  <c r="K13" i="12"/>
  <c r="K36" i="12" s="1"/>
  <c r="H6" i="12" s="1"/>
  <c r="L13" i="12"/>
  <c r="L36" i="12" s="1"/>
  <c r="I6" i="12" s="1"/>
  <c r="E35" i="11"/>
  <c r="I5" i="11" s="1"/>
  <c r="E19" i="11"/>
  <c r="H5" i="11" s="1"/>
  <c r="F20" i="17" l="1"/>
  <c r="F31" i="17" s="1"/>
  <c r="F20" i="20"/>
  <c r="F31" i="20" s="1"/>
  <c r="F20" i="16"/>
  <c r="F31" i="16" s="1"/>
  <c r="F20" i="15"/>
  <c r="F31" i="15" s="1"/>
  <c r="E20" i="13"/>
  <c r="E20" i="20"/>
  <c r="E31" i="20" s="1"/>
  <c r="E32" i="20" s="1"/>
  <c r="E20" i="15"/>
  <c r="E31" i="15" s="1"/>
  <c r="E32" i="15" s="1"/>
  <c r="E20" i="17"/>
  <c r="E31" i="17" s="1"/>
  <c r="E32" i="17" s="1"/>
  <c r="E20" i="16"/>
  <c r="E31" i="16" s="1"/>
  <c r="E32" i="16" s="1"/>
  <c r="D20" i="13"/>
  <c r="D21" i="13" s="1"/>
  <c r="H16" i="20"/>
  <c r="H16" i="17"/>
  <c r="H16" i="16"/>
  <c r="H16" i="15"/>
  <c r="F16" i="15"/>
  <c r="F16" i="16"/>
  <c r="F16" i="20"/>
  <c r="F16" i="17"/>
  <c r="G16" i="17"/>
  <c r="G16" i="20"/>
  <c r="G16" i="16"/>
  <c r="G16" i="15"/>
  <c r="M8" i="10"/>
  <c r="M7" i="10"/>
  <c r="M6" i="10"/>
  <c r="L8" i="10"/>
  <c r="L7" i="10"/>
  <c r="J7" i="9"/>
  <c r="J6" i="9"/>
  <c r="J5" i="9"/>
  <c r="I7" i="9"/>
  <c r="I5" i="9"/>
  <c r="I6" i="9"/>
  <c r="E6" i="8"/>
  <c r="K33" i="9" l="1"/>
  <c r="K32" i="9"/>
  <c r="K31" i="9"/>
  <c r="K30" i="9"/>
  <c r="K29" i="9"/>
  <c r="K28" i="9"/>
  <c r="K27" i="9"/>
  <c r="K26" i="9"/>
  <c r="K25" i="9"/>
  <c r="K24" i="9"/>
  <c r="K23" i="9"/>
  <c r="K22" i="9"/>
  <c r="K21" i="9"/>
  <c r="K20" i="9"/>
  <c r="K19" i="9"/>
  <c r="K18" i="9"/>
  <c r="K17" i="9"/>
  <c r="K16" i="9"/>
  <c r="K15" i="9"/>
  <c r="K14" i="9"/>
  <c r="J33" i="9"/>
  <c r="J32" i="9"/>
  <c r="J31" i="9"/>
  <c r="J30" i="9"/>
  <c r="J29" i="9"/>
  <c r="J28" i="9"/>
  <c r="J27" i="9"/>
  <c r="J26" i="9"/>
  <c r="J25" i="9"/>
  <c r="J24" i="9"/>
  <c r="J23" i="9"/>
  <c r="J22" i="9"/>
  <c r="J21" i="9"/>
  <c r="J20" i="9"/>
  <c r="J19" i="9"/>
  <c r="J18" i="9"/>
  <c r="J17" i="9"/>
  <c r="J16" i="9"/>
  <c r="J15" i="9"/>
  <c r="J14" i="9"/>
  <c r="I33" i="9"/>
  <c r="I32" i="9"/>
  <c r="I31" i="9"/>
  <c r="I30" i="9"/>
  <c r="I29" i="9"/>
  <c r="I28" i="9"/>
  <c r="I27" i="9"/>
  <c r="I26" i="9"/>
  <c r="I25" i="9"/>
  <c r="I24" i="9"/>
  <c r="I23" i="9"/>
  <c r="I22" i="9"/>
  <c r="I21" i="9"/>
  <c r="I20" i="9"/>
  <c r="I18" i="9"/>
  <c r="I19" i="9"/>
  <c r="I17" i="9"/>
  <c r="I16" i="9"/>
  <c r="I15" i="9"/>
  <c r="I14" i="9"/>
  <c r="H33" i="9"/>
  <c r="H32" i="9"/>
  <c r="H31" i="9"/>
  <c r="H30" i="9"/>
  <c r="H29" i="9"/>
  <c r="H28" i="9"/>
  <c r="H27" i="9"/>
  <c r="H26" i="9"/>
  <c r="H25" i="9"/>
  <c r="H24" i="9"/>
  <c r="H23" i="9"/>
  <c r="H22" i="9"/>
  <c r="H21" i="9"/>
  <c r="H20" i="9"/>
  <c r="H19" i="9"/>
  <c r="H18" i="9"/>
  <c r="H17" i="9"/>
  <c r="H16" i="9"/>
  <c r="H15" i="9"/>
  <c r="H14" i="9"/>
  <c r="K13" i="9"/>
  <c r="J13" i="9"/>
  <c r="I13" i="9"/>
  <c r="H13" i="9"/>
  <c r="G33" i="9"/>
  <c r="G32" i="9"/>
  <c r="G31" i="9"/>
  <c r="G30" i="9"/>
  <c r="G29" i="9"/>
  <c r="G28" i="9"/>
  <c r="G27" i="9"/>
  <c r="G26" i="9"/>
  <c r="G25" i="9"/>
  <c r="G24" i="9"/>
  <c r="G23" i="9"/>
  <c r="G22" i="9"/>
  <c r="G21" i="9"/>
  <c r="G20" i="9"/>
  <c r="G19" i="9"/>
  <c r="G18" i="9"/>
  <c r="G17" i="9"/>
  <c r="G16" i="9"/>
  <c r="G15" i="9"/>
  <c r="G14" i="9"/>
  <c r="G13" i="9"/>
  <c r="F33" i="9"/>
  <c r="F32" i="9"/>
  <c r="F31" i="9"/>
  <c r="F30" i="9"/>
  <c r="F29" i="9"/>
  <c r="F28" i="9"/>
  <c r="F27" i="9"/>
  <c r="F26" i="9"/>
  <c r="F25" i="9"/>
  <c r="F24" i="9"/>
  <c r="F23" i="9"/>
  <c r="F22" i="9"/>
  <c r="F21" i="9"/>
  <c r="F20" i="9"/>
  <c r="F18" i="9"/>
  <c r="F19" i="9"/>
  <c r="F17" i="9"/>
  <c r="F16" i="9"/>
  <c r="F15" i="9"/>
  <c r="F14" i="9"/>
  <c r="E33" i="9"/>
  <c r="E32" i="9"/>
  <c r="E31" i="9"/>
  <c r="E30" i="9"/>
  <c r="E29" i="9"/>
  <c r="E28" i="9"/>
  <c r="E27" i="9"/>
  <c r="E26" i="9"/>
  <c r="E25" i="9"/>
  <c r="E24" i="9"/>
  <c r="E23" i="9"/>
  <c r="F13" i="9"/>
  <c r="E22" i="9"/>
  <c r="E21" i="9"/>
  <c r="E20" i="9"/>
  <c r="E19" i="9"/>
  <c r="E18" i="9"/>
  <c r="E17" i="9"/>
  <c r="E16" i="9"/>
  <c r="E15" i="9"/>
  <c r="E14" i="9"/>
  <c r="E13" i="9"/>
  <c r="Z112" i="9"/>
  <c r="X112" i="9"/>
  <c r="V112" i="9"/>
  <c r="T112" i="9"/>
  <c r="R112" i="9"/>
  <c r="P112" i="9"/>
  <c r="N112" i="9"/>
  <c r="L112" i="9"/>
  <c r="J112" i="9"/>
  <c r="H112" i="9"/>
  <c r="F112" i="9"/>
  <c r="D112" i="9"/>
  <c r="Z86" i="9"/>
  <c r="X86" i="9"/>
  <c r="V86" i="9"/>
  <c r="T86" i="9"/>
  <c r="R86" i="9"/>
  <c r="P86" i="9"/>
  <c r="N86" i="9"/>
  <c r="L86" i="9"/>
  <c r="J86" i="9"/>
  <c r="H86" i="9"/>
  <c r="F86" i="9"/>
  <c r="D86" i="9"/>
  <c r="Z60" i="9"/>
  <c r="X60" i="9"/>
  <c r="V60" i="9"/>
  <c r="T60" i="9"/>
  <c r="R60" i="9"/>
  <c r="P60" i="9"/>
  <c r="N60" i="9"/>
  <c r="L60" i="9"/>
  <c r="J60" i="9"/>
  <c r="H60" i="9"/>
  <c r="F60" i="9"/>
  <c r="D60" i="9"/>
  <c r="B103" i="8"/>
  <c r="B102" i="8"/>
  <c r="B101" i="8"/>
  <c r="B100" i="8"/>
  <c r="Y69" i="8"/>
  <c r="AA69" i="8"/>
  <c r="B81" i="8"/>
  <c r="B80" i="8"/>
  <c r="B79" i="8"/>
  <c r="B78" i="8"/>
  <c r="B59" i="8"/>
  <c r="B58" i="8"/>
  <c r="B57" i="8"/>
  <c r="B56" i="8"/>
  <c r="E47" i="8"/>
  <c r="E46" i="8"/>
  <c r="E45" i="8"/>
  <c r="E44" i="8"/>
  <c r="E43" i="8"/>
  <c r="E42" i="8"/>
  <c r="L32" i="9" l="1"/>
  <c r="L33" i="9"/>
  <c r="L16" i="9"/>
  <c r="L14" i="9"/>
  <c r="L15" i="9"/>
  <c r="L13" i="9"/>
  <c r="L18" i="9"/>
  <c r="L19" i="9"/>
  <c r="L23" i="9"/>
  <c r="L17" i="9"/>
  <c r="E48" i="8"/>
  <c r="C103" i="8" s="1"/>
  <c r="U103" i="8" l="1"/>
  <c r="E103" i="8"/>
  <c r="AA103" i="8"/>
  <c r="K103" i="8"/>
  <c r="Q103" i="8"/>
  <c r="W103" i="8"/>
  <c r="G103" i="8"/>
  <c r="M103" i="8"/>
  <c r="Y103" i="8"/>
  <c r="S103" i="8"/>
  <c r="I103" i="8"/>
  <c r="O103" i="8"/>
  <c r="W95" i="9"/>
  <c r="O95" i="9"/>
  <c r="G95" i="9"/>
  <c r="W69" i="9"/>
  <c r="O69" i="9"/>
  <c r="G69" i="9"/>
  <c r="U43" i="9"/>
  <c r="M43" i="9"/>
  <c r="E43" i="9"/>
  <c r="AA43" i="9"/>
  <c r="E69" i="9"/>
  <c r="Y95" i="9"/>
  <c r="S95" i="9"/>
  <c r="Q95" i="9"/>
  <c r="I95" i="9"/>
  <c r="Y69" i="9"/>
  <c r="I69" i="9"/>
  <c r="Q69" i="9"/>
  <c r="W43" i="9"/>
  <c r="O43" i="9"/>
  <c r="G43" i="9"/>
  <c r="M95" i="9"/>
  <c r="E95" i="9"/>
  <c r="M69" i="9"/>
  <c r="AA95" i="9"/>
  <c r="K95" i="9"/>
  <c r="AA69" i="9"/>
  <c r="U69" i="9"/>
  <c r="K69" i="9"/>
  <c r="S69" i="9"/>
  <c r="Y43" i="9"/>
  <c r="Q43" i="9"/>
  <c r="I43" i="9"/>
  <c r="U95" i="9"/>
  <c r="K43" i="9"/>
  <c r="S43" i="9"/>
  <c r="Y91" i="9"/>
  <c r="Q91" i="9"/>
  <c r="I91" i="9"/>
  <c r="Y65" i="9"/>
  <c r="Q65" i="9"/>
  <c r="I65" i="9"/>
  <c r="W39" i="9"/>
  <c r="O39" i="9"/>
  <c r="G39" i="9"/>
  <c r="I39" i="9"/>
  <c r="AA91" i="9"/>
  <c r="S91" i="9"/>
  <c r="K91" i="9"/>
  <c r="AA65" i="9"/>
  <c r="U65" i="9"/>
  <c r="K65" i="9"/>
  <c r="S65" i="9"/>
  <c r="Y39" i="9"/>
  <c r="Q39" i="9"/>
  <c r="W91" i="9"/>
  <c r="U91" i="9"/>
  <c r="M91" i="9"/>
  <c r="E91" i="9"/>
  <c r="AA39" i="9"/>
  <c r="M65" i="9"/>
  <c r="E65" i="9"/>
  <c r="S39" i="9"/>
  <c r="K39" i="9"/>
  <c r="O91" i="9"/>
  <c r="G91" i="9"/>
  <c r="AB91" i="9" s="1"/>
  <c r="W65" i="9"/>
  <c r="O65" i="9"/>
  <c r="G65" i="9"/>
  <c r="U39" i="9"/>
  <c r="E39" i="9"/>
  <c r="M39" i="9"/>
  <c r="W111" i="9"/>
  <c r="O111" i="9"/>
  <c r="G111" i="9"/>
  <c r="W85" i="9"/>
  <c r="O85" i="9"/>
  <c r="G85" i="9"/>
  <c r="U59" i="9"/>
  <c r="M59" i="9"/>
  <c r="E59" i="9"/>
  <c r="U111" i="9"/>
  <c r="M111" i="9"/>
  <c r="E111" i="9"/>
  <c r="M85" i="9"/>
  <c r="Y111" i="9"/>
  <c r="S111" i="9"/>
  <c r="Q111" i="9"/>
  <c r="I111" i="9"/>
  <c r="Y85" i="9"/>
  <c r="I85" i="9"/>
  <c r="Q85" i="9"/>
  <c r="W59" i="9"/>
  <c r="O59" i="9"/>
  <c r="G59" i="9"/>
  <c r="AA59" i="9"/>
  <c r="AA111" i="9"/>
  <c r="K111" i="9"/>
  <c r="AA85" i="9"/>
  <c r="U85" i="9"/>
  <c r="K85" i="9"/>
  <c r="S85" i="9"/>
  <c r="Y59" i="9"/>
  <c r="Q59" i="9"/>
  <c r="I59" i="9"/>
  <c r="E85" i="9"/>
  <c r="S59" i="9"/>
  <c r="K59" i="9"/>
  <c r="Y96" i="9"/>
  <c r="S96" i="9"/>
  <c r="Q96" i="9"/>
  <c r="I96" i="9"/>
  <c r="Y70" i="9"/>
  <c r="I70" i="9"/>
  <c r="Q70" i="9"/>
  <c r="W44" i="9"/>
  <c r="O44" i="9"/>
  <c r="G44" i="9"/>
  <c r="I44" i="9"/>
  <c r="W96" i="9"/>
  <c r="O96" i="9"/>
  <c r="G96" i="9"/>
  <c r="W70" i="9"/>
  <c r="O70" i="9"/>
  <c r="AA96" i="9"/>
  <c r="K96" i="9"/>
  <c r="AA70" i="9"/>
  <c r="U70" i="9"/>
  <c r="K70" i="9"/>
  <c r="S70" i="9"/>
  <c r="Y44" i="9"/>
  <c r="Q44" i="9"/>
  <c r="G70" i="9"/>
  <c r="U96" i="9"/>
  <c r="M96" i="9"/>
  <c r="E96" i="9"/>
  <c r="AA44" i="9"/>
  <c r="M70" i="9"/>
  <c r="E70" i="9"/>
  <c r="S44" i="9"/>
  <c r="K44" i="9"/>
  <c r="U44" i="9"/>
  <c r="M44" i="9"/>
  <c r="E44" i="9"/>
  <c r="U94" i="9"/>
  <c r="M94" i="9"/>
  <c r="E94" i="9"/>
  <c r="AA42" i="9"/>
  <c r="M68" i="9"/>
  <c r="E68" i="9"/>
  <c r="S42" i="9"/>
  <c r="K42" i="9"/>
  <c r="E42" i="9"/>
  <c r="U68" i="9"/>
  <c r="W94" i="9"/>
  <c r="O94" i="9"/>
  <c r="G94" i="9"/>
  <c r="W68" i="9"/>
  <c r="O68" i="9"/>
  <c r="G68" i="9"/>
  <c r="U42" i="9"/>
  <c r="M42" i="9"/>
  <c r="K68" i="9"/>
  <c r="Y94" i="9"/>
  <c r="S94" i="9"/>
  <c r="Q94" i="9"/>
  <c r="I94" i="9"/>
  <c r="Y68" i="9"/>
  <c r="I68" i="9"/>
  <c r="Q68" i="9"/>
  <c r="W42" i="9"/>
  <c r="O42" i="9"/>
  <c r="G42" i="9"/>
  <c r="AA94" i="9"/>
  <c r="K94" i="9"/>
  <c r="AA68" i="9"/>
  <c r="I42" i="9"/>
  <c r="S68" i="9"/>
  <c r="Q42" i="9"/>
  <c r="Y42" i="9"/>
  <c r="AA97" i="9"/>
  <c r="K97" i="9"/>
  <c r="AA71" i="9"/>
  <c r="U71" i="9"/>
  <c r="K71" i="9"/>
  <c r="S71" i="9"/>
  <c r="Y45" i="9"/>
  <c r="Q45" i="9"/>
  <c r="I45" i="9"/>
  <c r="K45" i="9"/>
  <c r="U97" i="9"/>
  <c r="M97" i="9"/>
  <c r="E97" i="9"/>
  <c r="AA45" i="9"/>
  <c r="M71" i="9"/>
  <c r="E71" i="9"/>
  <c r="S45" i="9"/>
  <c r="Y97" i="9"/>
  <c r="S97" i="9"/>
  <c r="I71" i="9"/>
  <c r="W97" i="9"/>
  <c r="O97" i="9"/>
  <c r="G97" i="9"/>
  <c r="W71" i="9"/>
  <c r="O71" i="9"/>
  <c r="G71" i="9"/>
  <c r="U45" i="9"/>
  <c r="M45" i="9"/>
  <c r="E45" i="9"/>
  <c r="Q97" i="9"/>
  <c r="I97" i="9"/>
  <c r="Y71" i="9"/>
  <c r="Q71" i="9"/>
  <c r="O45" i="9"/>
  <c r="W45" i="9"/>
  <c r="G45" i="9"/>
  <c r="Y92" i="9"/>
  <c r="S92" i="9"/>
  <c r="Q92" i="9"/>
  <c r="I92" i="9"/>
  <c r="Y66" i="9"/>
  <c r="I66" i="9"/>
  <c r="Q66" i="9"/>
  <c r="W40" i="9"/>
  <c r="O40" i="9"/>
  <c r="G40" i="9"/>
  <c r="G66" i="9"/>
  <c r="AA92" i="9"/>
  <c r="K92" i="9"/>
  <c r="AA66" i="9"/>
  <c r="U66" i="9"/>
  <c r="K66" i="9"/>
  <c r="S66" i="9"/>
  <c r="Y40" i="9"/>
  <c r="Q40" i="9"/>
  <c r="I40" i="9"/>
  <c r="O92" i="9"/>
  <c r="G92" i="9"/>
  <c r="W66" i="9"/>
  <c r="O66" i="9"/>
  <c r="U92" i="9"/>
  <c r="M92" i="9"/>
  <c r="E92" i="9"/>
  <c r="AA40" i="9"/>
  <c r="M66" i="9"/>
  <c r="E66" i="9"/>
  <c r="S40" i="9"/>
  <c r="K40" i="9"/>
  <c r="W92" i="9"/>
  <c r="M40" i="9"/>
  <c r="U40" i="9"/>
  <c r="E40" i="9"/>
  <c r="AA101" i="9"/>
  <c r="K101" i="9"/>
  <c r="AA75" i="9"/>
  <c r="U75" i="9"/>
  <c r="K75" i="9"/>
  <c r="S75" i="9"/>
  <c r="Y49" i="9"/>
  <c r="Q49" i="9"/>
  <c r="I49" i="9"/>
  <c r="S101" i="9"/>
  <c r="Q101" i="9"/>
  <c r="I75" i="9"/>
  <c r="U101" i="9"/>
  <c r="M101" i="9"/>
  <c r="E101" i="9"/>
  <c r="AA49" i="9"/>
  <c r="M75" i="9"/>
  <c r="E75" i="9"/>
  <c r="S49" i="9"/>
  <c r="K49" i="9"/>
  <c r="I101" i="9"/>
  <c r="Y75" i="9"/>
  <c r="W101" i="9"/>
  <c r="O101" i="9"/>
  <c r="G101" i="9"/>
  <c r="W75" i="9"/>
  <c r="O75" i="9"/>
  <c r="G75" i="9"/>
  <c r="U49" i="9"/>
  <c r="M49" i="9"/>
  <c r="E49" i="9"/>
  <c r="Y101" i="9"/>
  <c r="W49" i="9"/>
  <c r="G49" i="9"/>
  <c r="Q75" i="9"/>
  <c r="O49" i="9"/>
  <c r="AA93" i="9"/>
  <c r="K93" i="9"/>
  <c r="AA67" i="9"/>
  <c r="U67" i="9"/>
  <c r="K67" i="9"/>
  <c r="S67" i="9"/>
  <c r="Y41" i="9"/>
  <c r="Q41" i="9"/>
  <c r="I41" i="9"/>
  <c r="I93" i="9"/>
  <c r="Y67" i="9"/>
  <c r="U93" i="9"/>
  <c r="M93" i="9"/>
  <c r="E93" i="9"/>
  <c r="AA41" i="9"/>
  <c r="M67" i="9"/>
  <c r="E67" i="9"/>
  <c r="S41" i="9"/>
  <c r="K41" i="9"/>
  <c r="Q93" i="9"/>
  <c r="W93" i="9"/>
  <c r="O93" i="9"/>
  <c r="G93" i="9"/>
  <c r="W67" i="9"/>
  <c r="O67" i="9"/>
  <c r="G67" i="9"/>
  <c r="U41" i="9"/>
  <c r="M41" i="9"/>
  <c r="E41" i="9"/>
  <c r="Y93" i="9"/>
  <c r="S93" i="9"/>
  <c r="I67" i="9"/>
  <c r="G41" i="9"/>
  <c r="Q67" i="9"/>
  <c r="O41" i="9"/>
  <c r="W41" i="9"/>
  <c r="U110" i="9"/>
  <c r="M110" i="9"/>
  <c r="E110" i="9"/>
  <c r="AA58" i="9"/>
  <c r="M84" i="9"/>
  <c r="E84" i="9"/>
  <c r="S58" i="9"/>
  <c r="K58" i="9"/>
  <c r="AA110" i="9"/>
  <c r="K84" i="9"/>
  <c r="W110" i="9"/>
  <c r="O110" i="9"/>
  <c r="G110" i="9"/>
  <c r="W84" i="9"/>
  <c r="O84" i="9"/>
  <c r="G84" i="9"/>
  <c r="U58" i="9"/>
  <c r="M58" i="9"/>
  <c r="E58" i="9"/>
  <c r="K110" i="9"/>
  <c r="AA84" i="9"/>
  <c r="Y110" i="9"/>
  <c r="S110" i="9"/>
  <c r="Q110" i="9"/>
  <c r="I110" i="9"/>
  <c r="Y84" i="9"/>
  <c r="I84" i="9"/>
  <c r="Q84" i="9"/>
  <c r="W58" i="9"/>
  <c r="O58" i="9"/>
  <c r="G58" i="9"/>
  <c r="U84" i="9"/>
  <c r="I58" i="9"/>
  <c r="Y58" i="9"/>
  <c r="S84" i="9"/>
  <c r="Q58" i="9"/>
  <c r="L21" i="9"/>
  <c r="L25" i="9"/>
  <c r="L31" i="9"/>
  <c r="L27" i="9"/>
  <c r="L29" i="9"/>
  <c r="L30" i="9"/>
  <c r="L20" i="9"/>
  <c r="L26" i="9"/>
  <c r="L24" i="9"/>
  <c r="L22" i="9"/>
  <c r="L28" i="9"/>
  <c r="AB65" i="9"/>
  <c r="C59" i="8"/>
  <c r="C81" i="8"/>
  <c r="AB49" i="9" l="1"/>
  <c r="AB92" i="9"/>
  <c r="AB70" i="9"/>
  <c r="AB95" i="9"/>
  <c r="AB66" i="9"/>
  <c r="AB103" i="8"/>
  <c r="U98" i="9"/>
  <c r="M98" i="9"/>
  <c r="E98" i="9"/>
  <c r="AA46" i="9"/>
  <c r="M72" i="9"/>
  <c r="E72" i="9"/>
  <c r="S46" i="9"/>
  <c r="K46" i="9"/>
  <c r="E46" i="9"/>
  <c r="W98" i="9"/>
  <c r="O98" i="9"/>
  <c r="G98" i="9"/>
  <c r="W72" i="9"/>
  <c r="O72" i="9"/>
  <c r="G72" i="9"/>
  <c r="U46" i="9"/>
  <c r="M46" i="9"/>
  <c r="K98" i="9"/>
  <c r="AA72" i="9"/>
  <c r="Y98" i="9"/>
  <c r="S98" i="9"/>
  <c r="Q98" i="9"/>
  <c r="I98" i="9"/>
  <c r="Y72" i="9"/>
  <c r="I72" i="9"/>
  <c r="Q72" i="9"/>
  <c r="W46" i="9"/>
  <c r="O46" i="9"/>
  <c r="G46" i="9"/>
  <c r="AA98" i="9"/>
  <c r="U72" i="9"/>
  <c r="K72" i="9"/>
  <c r="I46" i="9"/>
  <c r="S72" i="9"/>
  <c r="Q46" i="9"/>
  <c r="Y46" i="9"/>
  <c r="Y104" i="9"/>
  <c r="S104" i="9"/>
  <c r="Q104" i="9"/>
  <c r="I104" i="9"/>
  <c r="Y78" i="9"/>
  <c r="I78" i="9"/>
  <c r="Q78" i="9"/>
  <c r="W52" i="9"/>
  <c r="O52" i="9"/>
  <c r="G52" i="9"/>
  <c r="I52" i="9"/>
  <c r="W78" i="9"/>
  <c r="G78" i="9"/>
  <c r="AA104" i="9"/>
  <c r="K104" i="9"/>
  <c r="AA78" i="9"/>
  <c r="U78" i="9"/>
  <c r="K78" i="9"/>
  <c r="S78" i="9"/>
  <c r="Y52" i="9"/>
  <c r="Q52" i="9"/>
  <c r="O104" i="9"/>
  <c r="G104" i="9"/>
  <c r="O78" i="9"/>
  <c r="U104" i="9"/>
  <c r="M104" i="9"/>
  <c r="E104" i="9"/>
  <c r="AA52" i="9"/>
  <c r="M78" i="9"/>
  <c r="E78" i="9"/>
  <c r="S52" i="9"/>
  <c r="K52" i="9"/>
  <c r="W104" i="9"/>
  <c r="E52" i="9"/>
  <c r="AB52" i="9" s="1"/>
  <c r="M52" i="9"/>
  <c r="U52" i="9"/>
  <c r="U102" i="9"/>
  <c r="M102" i="9"/>
  <c r="E102" i="9"/>
  <c r="AA50" i="9"/>
  <c r="M76" i="9"/>
  <c r="E76" i="9"/>
  <c r="S50" i="9"/>
  <c r="K50" i="9"/>
  <c r="K102" i="9"/>
  <c r="AA76" i="9"/>
  <c r="U76" i="9"/>
  <c r="K76" i="9"/>
  <c r="W102" i="9"/>
  <c r="O102" i="9"/>
  <c r="G102" i="9"/>
  <c r="W76" i="9"/>
  <c r="O76" i="9"/>
  <c r="G76" i="9"/>
  <c r="U50" i="9"/>
  <c r="M50" i="9"/>
  <c r="E50" i="9"/>
  <c r="Y102" i="9"/>
  <c r="S102" i="9"/>
  <c r="Q102" i="9"/>
  <c r="I102" i="9"/>
  <c r="Y76" i="9"/>
  <c r="I76" i="9"/>
  <c r="Q76" i="9"/>
  <c r="W50" i="9"/>
  <c r="O50" i="9"/>
  <c r="G50" i="9"/>
  <c r="AA102" i="9"/>
  <c r="S76" i="9"/>
  <c r="Q50" i="9"/>
  <c r="I50" i="9"/>
  <c r="Y50" i="9"/>
  <c r="W107" i="9"/>
  <c r="O107" i="9"/>
  <c r="G107" i="9"/>
  <c r="W81" i="9"/>
  <c r="O81" i="9"/>
  <c r="G81" i="9"/>
  <c r="U55" i="9"/>
  <c r="M55" i="9"/>
  <c r="E55" i="9"/>
  <c r="O55" i="9"/>
  <c r="G55" i="9"/>
  <c r="AA55" i="9"/>
  <c r="Y107" i="9"/>
  <c r="S107" i="9"/>
  <c r="Q107" i="9"/>
  <c r="I107" i="9"/>
  <c r="Y81" i="9"/>
  <c r="I81" i="9"/>
  <c r="Q81" i="9"/>
  <c r="W55" i="9"/>
  <c r="U107" i="9"/>
  <c r="M107" i="9"/>
  <c r="E107" i="9"/>
  <c r="AA107" i="9"/>
  <c r="K107" i="9"/>
  <c r="AA81" i="9"/>
  <c r="U81" i="9"/>
  <c r="K81" i="9"/>
  <c r="S81" i="9"/>
  <c r="Y55" i="9"/>
  <c r="Q55" i="9"/>
  <c r="I55" i="9"/>
  <c r="M81" i="9"/>
  <c r="E81" i="9"/>
  <c r="AB81" i="9" s="1"/>
  <c r="S55" i="9"/>
  <c r="K55" i="9"/>
  <c r="W99" i="9"/>
  <c r="O99" i="9"/>
  <c r="G99" i="9"/>
  <c r="W73" i="9"/>
  <c r="O73" i="9"/>
  <c r="G73" i="9"/>
  <c r="G86" i="9" s="1"/>
  <c r="U47" i="9"/>
  <c r="M47" i="9"/>
  <c r="E47" i="9"/>
  <c r="G47" i="9"/>
  <c r="U99" i="9"/>
  <c r="M99" i="9"/>
  <c r="E99" i="9"/>
  <c r="M73" i="9"/>
  <c r="Y99" i="9"/>
  <c r="S99" i="9"/>
  <c r="Q99" i="9"/>
  <c r="I99" i="9"/>
  <c r="Y73" i="9"/>
  <c r="I73" i="9"/>
  <c r="Q73" i="9"/>
  <c r="W47" i="9"/>
  <c r="O47" i="9"/>
  <c r="AA47" i="9"/>
  <c r="E73" i="9"/>
  <c r="AA99" i="9"/>
  <c r="K99" i="9"/>
  <c r="AA73" i="9"/>
  <c r="U73" i="9"/>
  <c r="K73" i="9"/>
  <c r="S73" i="9"/>
  <c r="Y47" i="9"/>
  <c r="Q47" i="9"/>
  <c r="I47" i="9"/>
  <c r="K47" i="9"/>
  <c r="S47" i="9"/>
  <c r="AB58" i="9"/>
  <c r="AB40" i="9"/>
  <c r="AB44" i="9"/>
  <c r="AB96" i="9"/>
  <c r="AB111" i="9"/>
  <c r="AB67" i="9"/>
  <c r="AB45" i="9"/>
  <c r="AB97" i="9"/>
  <c r="AB42" i="9"/>
  <c r="AB59" i="9"/>
  <c r="AB43" i="9"/>
  <c r="Y100" i="9"/>
  <c r="S100" i="9"/>
  <c r="Q100" i="9"/>
  <c r="I100" i="9"/>
  <c r="Y74" i="9"/>
  <c r="I74" i="9"/>
  <c r="Q74" i="9"/>
  <c r="W48" i="9"/>
  <c r="O48" i="9"/>
  <c r="G48" i="9"/>
  <c r="AA100" i="9"/>
  <c r="K100" i="9"/>
  <c r="AA74" i="9"/>
  <c r="U74" i="9"/>
  <c r="K74" i="9"/>
  <c r="S74" i="9"/>
  <c r="Y48" i="9"/>
  <c r="Q48" i="9"/>
  <c r="I48" i="9"/>
  <c r="W100" i="9"/>
  <c r="U100" i="9"/>
  <c r="M100" i="9"/>
  <c r="E100" i="9"/>
  <c r="AA48" i="9"/>
  <c r="M74" i="9"/>
  <c r="E74" i="9"/>
  <c r="S48" i="9"/>
  <c r="K48" i="9"/>
  <c r="O100" i="9"/>
  <c r="G100" i="9"/>
  <c r="W74" i="9"/>
  <c r="O74" i="9"/>
  <c r="G74" i="9"/>
  <c r="E48" i="9"/>
  <c r="M48" i="9"/>
  <c r="U48" i="9"/>
  <c r="Y108" i="9"/>
  <c r="S108" i="9"/>
  <c r="Q108" i="9"/>
  <c r="I108" i="9"/>
  <c r="Y82" i="9"/>
  <c r="I82" i="9"/>
  <c r="Q82" i="9"/>
  <c r="W56" i="9"/>
  <c r="O56" i="9"/>
  <c r="G56" i="9"/>
  <c r="W108" i="9"/>
  <c r="O108" i="9"/>
  <c r="G108" i="9"/>
  <c r="O82" i="9"/>
  <c r="AA108" i="9"/>
  <c r="K108" i="9"/>
  <c r="AA82" i="9"/>
  <c r="U82" i="9"/>
  <c r="K82" i="9"/>
  <c r="S82" i="9"/>
  <c r="Y56" i="9"/>
  <c r="Q56" i="9"/>
  <c r="I56" i="9"/>
  <c r="W82" i="9"/>
  <c r="G82" i="9"/>
  <c r="U108" i="9"/>
  <c r="M108" i="9"/>
  <c r="E108" i="9"/>
  <c r="AA56" i="9"/>
  <c r="M82" i="9"/>
  <c r="E82" i="9"/>
  <c r="S56" i="9"/>
  <c r="K56" i="9"/>
  <c r="M56" i="9"/>
  <c r="E56" i="9"/>
  <c r="U56" i="9"/>
  <c r="W103" i="9"/>
  <c r="O103" i="9"/>
  <c r="G103" i="9"/>
  <c r="W77" i="9"/>
  <c r="O77" i="9"/>
  <c r="G77" i="9"/>
  <c r="U51" i="9"/>
  <c r="M51" i="9"/>
  <c r="E51" i="9"/>
  <c r="Y103" i="9"/>
  <c r="S103" i="9"/>
  <c r="Q103" i="9"/>
  <c r="I103" i="9"/>
  <c r="Y77" i="9"/>
  <c r="I77" i="9"/>
  <c r="Q77" i="9"/>
  <c r="W51" i="9"/>
  <c r="O51" i="9"/>
  <c r="G51" i="9"/>
  <c r="AA103" i="9"/>
  <c r="K103" i="9"/>
  <c r="AA77" i="9"/>
  <c r="U77" i="9"/>
  <c r="K77" i="9"/>
  <c r="S77" i="9"/>
  <c r="Y51" i="9"/>
  <c r="Q51" i="9"/>
  <c r="I51" i="9"/>
  <c r="U103" i="9"/>
  <c r="M103" i="9"/>
  <c r="E103" i="9"/>
  <c r="AA51" i="9"/>
  <c r="M77" i="9"/>
  <c r="E77" i="9"/>
  <c r="K51" i="9"/>
  <c r="S51" i="9"/>
  <c r="AB84" i="9"/>
  <c r="AB93" i="9"/>
  <c r="AB75" i="9"/>
  <c r="AB68" i="9"/>
  <c r="AB85" i="9"/>
  <c r="U106" i="9"/>
  <c r="M106" i="9"/>
  <c r="E106" i="9"/>
  <c r="AA54" i="9"/>
  <c r="M80" i="9"/>
  <c r="E80" i="9"/>
  <c r="S54" i="9"/>
  <c r="K54" i="9"/>
  <c r="E54" i="9"/>
  <c r="W106" i="9"/>
  <c r="O106" i="9"/>
  <c r="G106" i="9"/>
  <c r="W80" i="9"/>
  <c r="O80" i="9"/>
  <c r="G80" i="9"/>
  <c r="U54" i="9"/>
  <c r="M54" i="9"/>
  <c r="U80" i="9"/>
  <c r="K80" i="9"/>
  <c r="Y106" i="9"/>
  <c r="S106" i="9"/>
  <c r="Q106" i="9"/>
  <c r="I106" i="9"/>
  <c r="Y80" i="9"/>
  <c r="I80" i="9"/>
  <c r="Q80" i="9"/>
  <c r="W54" i="9"/>
  <c r="O54" i="9"/>
  <c r="G54" i="9"/>
  <c r="AA106" i="9"/>
  <c r="K106" i="9"/>
  <c r="AA80" i="9"/>
  <c r="Y54" i="9"/>
  <c r="I54" i="9"/>
  <c r="Q54" i="9"/>
  <c r="S80" i="9"/>
  <c r="AB110" i="9"/>
  <c r="AB41" i="9"/>
  <c r="AB101" i="9"/>
  <c r="AB94" i="9"/>
  <c r="AB69" i="9"/>
  <c r="AA109" i="9"/>
  <c r="K109" i="9"/>
  <c r="AA83" i="9"/>
  <c r="U83" i="9"/>
  <c r="K83" i="9"/>
  <c r="S83" i="9"/>
  <c r="Y57" i="9"/>
  <c r="Q57" i="9"/>
  <c r="I57" i="9"/>
  <c r="K57" i="9"/>
  <c r="S109" i="9"/>
  <c r="U109" i="9"/>
  <c r="M109" i="9"/>
  <c r="E109" i="9"/>
  <c r="AA57" i="9"/>
  <c r="M83" i="9"/>
  <c r="E83" i="9"/>
  <c r="S57" i="9"/>
  <c r="Y109" i="9"/>
  <c r="W109" i="9"/>
  <c r="O109" i="9"/>
  <c r="G109" i="9"/>
  <c r="W83" i="9"/>
  <c r="O83" i="9"/>
  <c r="G83" i="9"/>
  <c r="U57" i="9"/>
  <c r="M57" i="9"/>
  <c r="E57" i="9"/>
  <c r="Q109" i="9"/>
  <c r="I109" i="9"/>
  <c r="Y83" i="9"/>
  <c r="I83" i="9"/>
  <c r="G57" i="9"/>
  <c r="Q83" i="9"/>
  <c r="O57" i="9"/>
  <c r="W57" i="9"/>
  <c r="AA105" i="9"/>
  <c r="K105" i="9"/>
  <c r="AA79" i="9"/>
  <c r="U79" i="9"/>
  <c r="K79" i="9"/>
  <c r="S79" i="9"/>
  <c r="Y53" i="9"/>
  <c r="Q53" i="9"/>
  <c r="I53" i="9"/>
  <c r="Y105" i="9"/>
  <c r="I105" i="9"/>
  <c r="Y79" i="9"/>
  <c r="U105" i="9"/>
  <c r="M105" i="9"/>
  <c r="E105" i="9"/>
  <c r="AA53" i="9"/>
  <c r="M79" i="9"/>
  <c r="E79" i="9"/>
  <c r="S53" i="9"/>
  <c r="K53" i="9"/>
  <c r="Q105" i="9"/>
  <c r="W105" i="9"/>
  <c r="O105" i="9"/>
  <c r="G105" i="9"/>
  <c r="W79" i="9"/>
  <c r="O79" i="9"/>
  <c r="G79" i="9"/>
  <c r="U53" i="9"/>
  <c r="M53" i="9"/>
  <c r="E53" i="9"/>
  <c r="S105" i="9"/>
  <c r="I79" i="9"/>
  <c r="W53" i="9"/>
  <c r="G53" i="9"/>
  <c r="Q79" i="9"/>
  <c r="O53" i="9"/>
  <c r="AB71" i="9"/>
  <c r="W59" i="8"/>
  <c r="U59" i="8"/>
  <c r="AA59" i="8"/>
  <c r="Y59" i="8"/>
  <c r="M59" i="8"/>
  <c r="K59" i="8"/>
  <c r="E59" i="8"/>
  <c r="S59" i="8"/>
  <c r="I59" i="8"/>
  <c r="G59" i="8"/>
  <c r="O59" i="8"/>
  <c r="Q59" i="8"/>
  <c r="U81" i="8"/>
  <c r="M81" i="8"/>
  <c r="W81" i="8"/>
  <c r="O81" i="8"/>
  <c r="G81" i="8"/>
  <c r="Y81" i="8"/>
  <c r="Q81" i="8"/>
  <c r="I81" i="8"/>
  <c r="AA81" i="8"/>
  <c r="S81" i="8"/>
  <c r="K81" i="8"/>
  <c r="E81" i="8"/>
  <c r="K86" i="9" l="1"/>
  <c r="K60" i="9"/>
  <c r="U112" i="9"/>
  <c r="S60" i="9"/>
  <c r="AA86" i="9"/>
  <c r="Y60" i="9"/>
  <c r="G112" i="9"/>
  <c r="O112" i="9"/>
  <c r="M60" i="9"/>
  <c r="AB78" i="9"/>
  <c r="S86" i="9"/>
  <c r="Q86" i="9"/>
  <c r="M112" i="9"/>
  <c r="AB59" i="8"/>
  <c r="AB80" i="9"/>
  <c r="AB56" i="9"/>
  <c r="AB100" i="9"/>
  <c r="O60" i="9"/>
  <c r="Y112" i="9"/>
  <c r="AB53" i="9"/>
  <c r="AB79" i="9"/>
  <c r="AB109" i="9"/>
  <c r="AB106" i="9"/>
  <c r="AB108" i="9"/>
  <c r="AB73" i="9"/>
  <c r="AB99" i="9"/>
  <c r="AB47" i="9"/>
  <c r="AB55" i="9"/>
  <c r="AB50" i="9"/>
  <c r="I60" i="9"/>
  <c r="G60" i="9"/>
  <c r="I86" i="9"/>
  <c r="S112" i="9"/>
  <c r="W86" i="9"/>
  <c r="AB46" i="9"/>
  <c r="M86" i="9"/>
  <c r="AB72" i="9"/>
  <c r="E86" i="9"/>
  <c r="AB51" i="9"/>
  <c r="AB76" i="9"/>
  <c r="AA112" i="9"/>
  <c r="Q112" i="9"/>
  <c r="K112" i="9"/>
  <c r="O86" i="9"/>
  <c r="W112" i="9"/>
  <c r="AB57" i="9"/>
  <c r="AB54" i="9"/>
  <c r="AB77" i="9"/>
  <c r="AB48" i="9"/>
  <c r="AB74" i="9"/>
  <c r="AB107" i="9"/>
  <c r="AB102" i="9"/>
  <c r="AB104" i="9"/>
  <c r="Q60" i="9"/>
  <c r="U86" i="9"/>
  <c r="W60" i="9"/>
  <c r="I112" i="9"/>
  <c r="AB98" i="9"/>
  <c r="E112" i="9"/>
  <c r="AB105" i="9"/>
  <c r="AB83" i="9"/>
  <c r="AB103" i="9"/>
  <c r="AB82" i="9"/>
  <c r="Y86" i="9"/>
  <c r="AB86" i="9" s="1"/>
  <c r="U60" i="9"/>
  <c r="AA60" i="9"/>
  <c r="AB81" i="8"/>
  <c r="D15" i="10" l="1"/>
  <c r="D30" i="10" s="1"/>
  <c r="F5" i="9"/>
  <c r="F15" i="13" s="1"/>
  <c r="AB112" i="9"/>
  <c r="L4" i="8"/>
  <c r="K4" i="8"/>
  <c r="J4" i="8"/>
  <c r="E5" i="8"/>
  <c r="E7" i="8"/>
  <c r="F7" i="8"/>
  <c r="F6" i="8"/>
  <c r="F5" i="8"/>
  <c r="D10" i="7"/>
  <c r="D9" i="7"/>
  <c r="D8" i="7"/>
  <c r="C10" i="7"/>
  <c r="C9" i="7"/>
  <c r="C8" i="7"/>
  <c r="E78" i="5"/>
  <c r="E75" i="5"/>
  <c r="E66" i="5"/>
  <c r="E69" i="5"/>
  <c r="E59" i="5"/>
  <c r="E56" i="5"/>
  <c r="A91" i="4"/>
  <c r="H46" i="5"/>
  <c r="H45" i="5"/>
  <c r="H44" i="5"/>
  <c r="H43" i="5"/>
  <c r="H42" i="5"/>
  <c r="H35" i="5"/>
  <c r="H34" i="5"/>
  <c r="H33" i="5"/>
  <c r="H32" i="5"/>
  <c r="H31" i="5"/>
  <c r="G12" i="20" l="1"/>
  <c r="G26" i="20" s="1"/>
  <c r="G12" i="16"/>
  <c r="G26" i="16" s="1"/>
  <c r="G12" i="15"/>
  <c r="G26" i="15" s="1"/>
  <c r="G12" i="17"/>
  <c r="G26" i="17" s="1"/>
  <c r="D22" i="10"/>
  <c r="E30" i="10" s="1"/>
  <c r="G5" i="9"/>
  <c r="G15" i="13" s="1"/>
  <c r="H36" i="5"/>
  <c r="H47" i="5"/>
  <c r="H12" i="17" l="1"/>
  <c r="H26" i="17" s="1"/>
  <c r="H12" i="16"/>
  <c r="H26" i="16" s="1"/>
  <c r="H12" i="20"/>
  <c r="H26" i="20" s="1"/>
  <c r="H12" i="15"/>
  <c r="H26" i="15" s="1"/>
  <c r="B19" i="6"/>
  <c r="B14" i="6"/>
  <c r="B18" i="6"/>
  <c r="B16" i="6"/>
  <c r="B13" i="6"/>
  <c r="A142" i="4"/>
  <c r="B8" i="6"/>
  <c r="B7" i="6"/>
  <c r="B6" i="6"/>
  <c r="D8" i="4"/>
  <c r="D7" i="4"/>
  <c r="D6" i="4"/>
  <c r="E6" i="4"/>
  <c r="A148" i="4"/>
  <c r="A147" i="4"/>
  <c r="A145" i="4"/>
  <c r="A143" i="4"/>
  <c r="A95" i="4"/>
  <c r="A96" i="4"/>
  <c r="A93" i="4"/>
  <c r="A90" i="4"/>
  <c r="A45" i="4"/>
  <c r="A44" i="4"/>
  <c r="A42" i="4"/>
  <c r="A40" i="4"/>
  <c r="A39" i="4"/>
  <c r="B40" i="4"/>
  <c r="C8" i="6"/>
  <c r="C7" i="6"/>
  <c r="C6" i="6"/>
  <c r="B148" i="4"/>
  <c r="B143" i="4"/>
  <c r="AA143" i="4"/>
  <c r="AB75" i="5" s="1"/>
  <c r="AA144" i="4"/>
  <c r="AB76" i="5" s="1"/>
  <c r="AA146" i="4"/>
  <c r="AB77" i="5" s="1"/>
  <c r="AC77" i="5" s="1"/>
  <c r="AA148" i="4"/>
  <c r="AB78" i="5" s="1"/>
  <c r="AC78" i="5" s="1"/>
  <c r="Y143" i="4"/>
  <c r="Z75" i="5" s="1"/>
  <c r="Y144" i="4"/>
  <c r="Z76" i="5" s="1"/>
  <c r="Y146" i="4"/>
  <c r="Z77" i="5" s="1"/>
  <c r="AA77" i="5" s="1"/>
  <c r="Y148" i="4"/>
  <c r="Z78" i="5" s="1"/>
  <c r="AA78" i="5" s="1"/>
  <c r="W148" i="4"/>
  <c r="X78" i="5" s="1"/>
  <c r="Y78" i="5" s="1"/>
  <c r="W146" i="4"/>
  <c r="X77" i="5" s="1"/>
  <c r="Y77" i="5" s="1"/>
  <c r="W144" i="4"/>
  <c r="X76" i="5" s="1"/>
  <c r="W143" i="4"/>
  <c r="X75" i="5" s="1"/>
  <c r="U148" i="4"/>
  <c r="V78" i="5" s="1"/>
  <c r="W78" i="5" s="1"/>
  <c r="U146" i="4"/>
  <c r="V77" i="5" s="1"/>
  <c r="W77" i="5" s="1"/>
  <c r="U144" i="4"/>
  <c r="V76" i="5" s="1"/>
  <c r="U143" i="4"/>
  <c r="V75" i="5" s="1"/>
  <c r="S148" i="4"/>
  <c r="T78" i="5" s="1"/>
  <c r="U78" i="5" s="1"/>
  <c r="S146" i="4"/>
  <c r="T77" i="5" s="1"/>
  <c r="U77" i="5" s="1"/>
  <c r="S144" i="4"/>
  <c r="T76" i="5" s="1"/>
  <c r="S143" i="4"/>
  <c r="T75" i="5" s="1"/>
  <c r="Q148" i="4"/>
  <c r="R78" i="5" s="1"/>
  <c r="S78" i="5" s="1"/>
  <c r="Q146" i="4"/>
  <c r="R77" i="5" s="1"/>
  <c r="S77" i="5" s="1"/>
  <c r="Q144" i="4"/>
  <c r="R76" i="5" s="1"/>
  <c r="Q143" i="4"/>
  <c r="R75" i="5" s="1"/>
  <c r="O148" i="4"/>
  <c r="P78" i="5" s="1"/>
  <c r="Q78" i="5" s="1"/>
  <c r="O146" i="4"/>
  <c r="P77" i="5" s="1"/>
  <c r="Q77" i="5" s="1"/>
  <c r="O144" i="4"/>
  <c r="P76" i="5" s="1"/>
  <c r="O143" i="4"/>
  <c r="P75" i="5" s="1"/>
  <c r="M148" i="4"/>
  <c r="N78" i="5" s="1"/>
  <c r="O78" i="5" s="1"/>
  <c r="M146" i="4"/>
  <c r="N77" i="5" s="1"/>
  <c r="O77" i="5" s="1"/>
  <c r="M144" i="4"/>
  <c r="N76" i="5" s="1"/>
  <c r="M143" i="4"/>
  <c r="N75" i="5" s="1"/>
  <c r="K148" i="4"/>
  <c r="L78" i="5" s="1"/>
  <c r="M78" i="5" s="1"/>
  <c r="K146" i="4"/>
  <c r="L77" i="5" s="1"/>
  <c r="M77" i="5" s="1"/>
  <c r="K144" i="4"/>
  <c r="L76" i="5" s="1"/>
  <c r="K143" i="4"/>
  <c r="L75" i="5" s="1"/>
  <c r="I148" i="4"/>
  <c r="J78" i="5" s="1"/>
  <c r="K78" i="5" s="1"/>
  <c r="I146" i="4"/>
  <c r="J77" i="5" s="1"/>
  <c r="K77" i="5" s="1"/>
  <c r="I144" i="4"/>
  <c r="J76" i="5" s="1"/>
  <c r="I143" i="4"/>
  <c r="J75" i="5" s="1"/>
  <c r="G148" i="4"/>
  <c r="H78" i="5" s="1"/>
  <c r="I78" i="5" s="1"/>
  <c r="G146" i="4"/>
  <c r="H77" i="5" s="1"/>
  <c r="I77" i="5" s="1"/>
  <c r="G144" i="4"/>
  <c r="H76" i="5" s="1"/>
  <c r="H75" i="5"/>
  <c r="E144" i="4"/>
  <c r="F76" i="5" s="1"/>
  <c r="E148" i="4"/>
  <c r="F78" i="5" s="1"/>
  <c r="G78" i="5" s="1"/>
  <c r="E146" i="4"/>
  <c r="F77" i="5" s="1"/>
  <c r="G77" i="5" s="1"/>
  <c r="E143" i="4"/>
  <c r="F75" i="5" s="1"/>
  <c r="AA96" i="4"/>
  <c r="AB69" i="5" s="1"/>
  <c r="AC69" i="5" s="1"/>
  <c r="AA94" i="4"/>
  <c r="AB68" i="5" s="1"/>
  <c r="AC68" i="5" s="1"/>
  <c r="AA92" i="4"/>
  <c r="AB67" i="5" s="1"/>
  <c r="AA91" i="4"/>
  <c r="AB66" i="5" s="1"/>
  <c r="Y96" i="4"/>
  <c r="Z69" i="5" s="1"/>
  <c r="AA69" i="5" s="1"/>
  <c r="Y94" i="4"/>
  <c r="Z68" i="5" s="1"/>
  <c r="AA68" i="5" s="1"/>
  <c r="Y92" i="4"/>
  <c r="Z67" i="5" s="1"/>
  <c r="Y91" i="4"/>
  <c r="Z66" i="5" s="1"/>
  <c r="W96" i="4"/>
  <c r="X69" i="5" s="1"/>
  <c r="Y69" i="5" s="1"/>
  <c r="W94" i="4"/>
  <c r="X68" i="5" s="1"/>
  <c r="Y68" i="5" s="1"/>
  <c r="W92" i="4"/>
  <c r="X67" i="5" s="1"/>
  <c r="W91" i="4"/>
  <c r="X66" i="5" s="1"/>
  <c r="U96" i="4"/>
  <c r="V69" i="5" s="1"/>
  <c r="W69" i="5" s="1"/>
  <c r="U94" i="4"/>
  <c r="V68" i="5" s="1"/>
  <c r="W68" i="5" s="1"/>
  <c r="U92" i="4"/>
  <c r="V67" i="5" s="1"/>
  <c r="U91" i="4"/>
  <c r="V66" i="5" s="1"/>
  <c r="S96" i="4"/>
  <c r="T69" i="5" s="1"/>
  <c r="U69" i="5" s="1"/>
  <c r="S94" i="4"/>
  <c r="T68" i="5" s="1"/>
  <c r="U68" i="5" s="1"/>
  <c r="S92" i="4"/>
  <c r="T67" i="5" s="1"/>
  <c r="S91" i="4"/>
  <c r="T66" i="5" s="1"/>
  <c r="Q96" i="4"/>
  <c r="R69" i="5" s="1"/>
  <c r="S69" i="5" s="1"/>
  <c r="Q94" i="4"/>
  <c r="R68" i="5" s="1"/>
  <c r="S68" i="5" s="1"/>
  <c r="Q92" i="4"/>
  <c r="R67" i="5" s="1"/>
  <c r="Q91" i="4"/>
  <c r="R66" i="5" s="1"/>
  <c r="O96" i="4"/>
  <c r="P69" i="5" s="1"/>
  <c r="Q69" i="5" s="1"/>
  <c r="O94" i="4"/>
  <c r="P68" i="5" s="1"/>
  <c r="Q68" i="5" s="1"/>
  <c r="O92" i="4"/>
  <c r="P67" i="5" s="1"/>
  <c r="O91" i="4"/>
  <c r="P66" i="5" s="1"/>
  <c r="M96" i="4"/>
  <c r="N69" i="5" s="1"/>
  <c r="O69" i="5" s="1"/>
  <c r="M94" i="4"/>
  <c r="N68" i="5" s="1"/>
  <c r="O68" i="5" s="1"/>
  <c r="M92" i="4"/>
  <c r="N67" i="5" s="1"/>
  <c r="M91" i="4"/>
  <c r="N66" i="5" s="1"/>
  <c r="K96" i="4"/>
  <c r="L69" i="5" s="1"/>
  <c r="M69" i="5" s="1"/>
  <c r="K94" i="4"/>
  <c r="L68" i="5" s="1"/>
  <c r="M68" i="5" s="1"/>
  <c r="K92" i="4"/>
  <c r="L67" i="5" s="1"/>
  <c r="K91" i="4"/>
  <c r="L66" i="5" s="1"/>
  <c r="I96" i="4"/>
  <c r="J69" i="5" s="1"/>
  <c r="K69" i="5" s="1"/>
  <c r="I94" i="4"/>
  <c r="J68" i="5" s="1"/>
  <c r="K68" i="5" s="1"/>
  <c r="I92" i="4"/>
  <c r="J67" i="5" s="1"/>
  <c r="I91" i="4"/>
  <c r="J66" i="5" s="1"/>
  <c r="G96" i="4"/>
  <c r="H69" i="5" s="1"/>
  <c r="I69" i="5" s="1"/>
  <c r="G94" i="4"/>
  <c r="H68" i="5" s="1"/>
  <c r="I68" i="5" s="1"/>
  <c r="G92" i="4"/>
  <c r="H67" i="5" s="1"/>
  <c r="H66" i="5"/>
  <c r="E96" i="4"/>
  <c r="F69" i="5" s="1"/>
  <c r="G69" i="5" s="1"/>
  <c r="E41" i="4"/>
  <c r="F57" i="5" s="1"/>
  <c r="E92" i="4"/>
  <c r="F67" i="5" s="1"/>
  <c r="E91" i="4"/>
  <c r="F66" i="5" s="1"/>
  <c r="E94" i="4"/>
  <c r="F68" i="5" s="1"/>
  <c r="G68" i="5" s="1"/>
  <c r="G41" i="4"/>
  <c r="H57" i="5" s="1"/>
  <c r="H56" i="5"/>
  <c r="G43" i="4"/>
  <c r="H58" i="5" s="1"/>
  <c r="I58" i="5" s="1"/>
  <c r="E40" i="4"/>
  <c r="E43" i="4"/>
  <c r="F58" i="5" s="1"/>
  <c r="G58" i="5" s="1"/>
  <c r="B91" i="4"/>
  <c r="E8" i="4"/>
  <c r="E7" i="4"/>
  <c r="F70" i="5" l="1"/>
  <c r="L70" i="5"/>
  <c r="J70" i="5"/>
  <c r="R70" i="5"/>
  <c r="Z70" i="5"/>
  <c r="J79" i="5"/>
  <c r="R79" i="5"/>
  <c r="Z79" i="5"/>
  <c r="AB79" i="5"/>
  <c r="H70" i="5"/>
  <c r="X70" i="5"/>
  <c r="P79" i="5"/>
  <c r="X79" i="5"/>
  <c r="P70" i="5"/>
  <c r="H79" i="5"/>
  <c r="N70" i="5"/>
  <c r="V70" i="5"/>
  <c r="F79" i="5"/>
  <c r="N79" i="5"/>
  <c r="V79" i="5"/>
  <c r="T70" i="5"/>
  <c r="AB70" i="5"/>
  <c r="L79" i="5"/>
  <c r="T79" i="5"/>
  <c r="H24" i="5"/>
  <c r="H23" i="5"/>
  <c r="H22" i="5"/>
  <c r="H21" i="5"/>
  <c r="H20" i="5"/>
  <c r="E15" i="5"/>
  <c r="E11" i="5"/>
  <c r="E13" i="5" s="1"/>
  <c r="H48" i="5" l="1"/>
  <c r="H37" i="5"/>
  <c r="H25" i="5"/>
  <c r="H26" i="5" l="1"/>
  <c r="M76" i="5"/>
  <c r="M67" i="5"/>
  <c r="Q67" i="5"/>
  <c r="S75" i="5"/>
  <c r="AC66" i="5"/>
  <c r="Y66" i="5"/>
  <c r="O75" i="5"/>
  <c r="Q75" i="5"/>
  <c r="G57" i="5"/>
  <c r="Y75" i="5"/>
  <c r="W66" i="5"/>
  <c r="K67" i="5"/>
  <c r="I66" i="5"/>
  <c r="I67" i="5"/>
  <c r="AA67" i="5"/>
  <c r="W76" i="5"/>
  <c r="I76" i="5"/>
  <c r="K66" i="5"/>
  <c r="Y76" i="5"/>
  <c r="O66" i="5"/>
  <c r="G67" i="5"/>
  <c r="G56" i="5"/>
  <c r="W67" i="5"/>
  <c r="G76" i="5"/>
  <c r="AC67" i="5"/>
  <c r="AA76" i="5"/>
  <c r="AA75" i="5"/>
  <c r="I75" i="5"/>
  <c r="M75" i="5"/>
  <c r="U75" i="5"/>
  <c r="AC75" i="5"/>
  <c r="G75" i="5"/>
  <c r="Y67" i="5"/>
  <c r="I57" i="5"/>
  <c r="S66" i="5"/>
  <c r="U67" i="5"/>
  <c r="O76" i="5"/>
  <c r="S76" i="5"/>
  <c r="G66" i="5"/>
  <c r="AA66" i="5"/>
  <c r="W75" i="5"/>
  <c r="AC76" i="5"/>
  <c r="I56" i="5"/>
  <c r="K75" i="5"/>
  <c r="U66" i="5"/>
  <c r="K76" i="5"/>
  <c r="Q76" i="5"/>
  <c r="U76" i="5"/>
  <c r="S67" i="5"/>
  <c r="O67" i="5"/>
  <c r="M66" i="5"/>
  <c r="Q66" i="5"/>
  <c r="AA113" i="8"/>
  <c r="Y113" i="8"/>
  <c r="W113" i="8"/>
  <c r="U113" i="8"/>
  <c r="S113" i="8"/>
  <c r="Q113" i="8"/>
  <c r="O113" i="8"/>
  <c r="M113" i="8"/>
  <c r="K113" i="8"/>
  <c r="I113" i="8"/>
  <c r="G113" i="8"/>
  <c r="E113" i="8"/>
  <c r="AA112" i="8"/>
  <c r="Y112" i="8"/>
  <c r="W112" i="8"/>
  <c r="U112" i="8"/>
  <c r="S112" i="8"/>
  <c r="Q112" i="8"/>
  <c r="O112" i="8"/>
  <c r="M112" i="8"/>
  <c r="K112" i="8"/>
  <c r="I112" i="8"/>
  <c r="G112" i="8"/>
  <c r="E112" i="8"/>
  <c r="AA111" i="8"/>
  <c r="Y111" i="8"/>
  <c r="W111" i="8"/>
  <c r="U111" i="8"/>
  <c r="S111" i="8"/>
  <c r="Q111" i="8"/>
  <c r="O111" i="8"/>
  <c r="M111" i="8"/>
  <c r="K111" i="8"/>
  <c r="I111" i="8"/>
  <c r="G111" i="8"/>
  <c r="E111" i="8"/>
  <c r="AA109" i="8"/>
  <c r="Y109" i="8"/>
  <c r="W109" i="8"/>
  <c r="U109" i="8"/>
  <c r="S109" i="8"/>
  <c r="Q109" i="8"/>
  <c r="O109" i="8"/>
  <c r="M109" i="8"/>
  <c r="K109" i="8"/>
  <c r="I109" i="8"/>
  <c r="G109" i="8"/>
  <c r="E109" i="8"/>
  <c r="AA108" i="8"/>
  <c r="Y108" i="8"/>
  <c r="W108" i="8"/>
  <c r="U108" i="8"/>
  <c r="S108" i="8"/>
  <c r="Q108" i="8"/>
  <c r="O108" i="8"/>
  <c r="M108" i="8"/>
  <c r="K108" i="8"/>
  <c r="I108" i="8"/>
  <c r="G108" i="8"/>
  <c r="E108" i="8"/>
  <c r="AA107" i="8"/>
  <c r="Y107" i="8"/>
  <c r="W107" i="8"/>
  <c r="U107" i="8"/>
  <c r="S107" i="8"/>
  <c r="Q107" i="8"/>
  <c r="O107" i="8"/>
  <c r="M107" i="8"/>
  <c r="K107" i="8"/>
  <c r="I107" i="8"/>
  <c r="G107" i="8"/>
  <c r="E107" i="8"/>
  <c r="AA106" i="8"/>
  <c r="Y106" i="8"/>
  <c r="W106" i="8"/>
  <c r="U106" i="8"/>
  <c r="S106" i="8"/>
  <c r="Q106" i="8"/>
  <c r="O106" i="8"/>
  <c r="M106" i="8"/>
  <c r="K106" i="8"/>
  <c r="I106" i="8"/>
  <c r="G106" i="8"/>
  <c r="E106" i="8"/>
  <c r="AA105" i="8"/>
  <c r="Y105" i="8"/>
  <c r="W105" i="8"/>
  <c r="U105" i="8"/>
  <c r="S105" i="8"/>
  <c r="Q105" i="8"/>
  <c r="O105" i="8"/>
  <c r="M105" i="8"/>
  <c r="K105" i="8"/>
  <c r="I105" i="8"/>
  <c r="G105" i="8"/>
  <c r="E105" i="8"/>
  <c r="AA104" i="8"/>
  <c r="Y104" i="8"/>
  <c r="W104" i="8"/>
  <c r="U104" i="8"/>
  <c r="S104" i="8"/>
  <c r="Q104" i="8"/>
  <c r="O104" i="8"/>
  <c r="M104" i="8"/>
  <c r="K104" i="8"/>
  <c r="I104" i="8"/>
  <c r="G104" i="8"/>
  <c r="E104" i="8"/>
  <c r="AA91" i="8"/>
  <c r="Y91" i="8"/>
  <c r="W91" i="8"/>
  <c r="U91" i="8"/>
  <c r="S91" i="8"/>
  <c r="Q91" i="8"/>
  <c r="O91" i="8"/>
  <c r="M91" i="8"/>
  <c r="K91" i="8"/>
  <c r="I91" i="8"/>
  <c r="G91" i="8"/>
  <c r="E91" i="8"/>
  <c r="AA90" i="8"/>
  <c r="Y90" i="8"/>
  <c r="W90" i="8"/>
  <c r="U90" i="8"/>
  <c r="S90" i="8"/>
  <c r="Q90" i="8"/>
  <c r="O90" i="8"/>
  <c r="M90" i="8"/>
  <c r="K90" i="8"/>
  <c r="I90" i="8"/>
  <c r="G90" i="8"/>
  <c r="E90" i="8"/>
  <c r="AA89" i="8"/>
  <c r="Y89" i="8"/>
  <c r="W89" i="8"/>
  <c r="U89" i="8"/>
  <c r="S89" i="8"/>
  <c r="Q89" i="8"/>
  <c r="O89" i="8"/>
  <c r="M89" i="8"/>
  <c r="K89" i="8"/>
  <c r="I89" i="8"/>
  <c r="G89" i="8"/>
  <c r="E89" i="8"/>
  <c r="AA87" i="8"/>
  <c r="Y87" i="8"/>
  <c r="W87" i="8"/>
  <c r="U87" i="8"/>
  <c r="S87" i="8"/>
  <c r="Q87" i="8"/>
  <c r="O87" i="8"/>
  <c r="M87" i="8"/>
  <c r="K87" i="8"/>
  <c r="I87" i="8"/>
  <c r="G87" i="8"/>
  <c r="E87" i="8"/>
  <c r="AA86" i="8"/>
  <c r="Y86" i="8"/>
  <c r="W86" i="8"/>
  <c r="U86" i="8"/>
  <c r="S86" i="8"/>
  <c r="Q86" i="8"/>
  <c r="O86" i="8"/>
  <c r="M86" i="8"/>
  <c r="K86" i="8"/>
  <c r="I86" i="8"/>
  <c r="G86" i="8"/>
  <c r="E86" i="8"/>
  <c r="AA85" i="8"/>
  <c r="Y85" i="8"/>
  <c r="W85" i="8"/>
  <c r="U85" i="8"/>
  <c r="S85" i="8"/>
  <c r="Q85" i="8"/>
  <c r="O85" i="8"/>
  <c r="M85" i="8"/>
  <c r="K85" i="8"/>
  <c r="I85" i="8"/>
  <c r="G85" i="8"/>
  <c r="E85" i="8"/>
  <c r="AA84" i="8"/>
  <c r="Y84" i="8"/>
  <c r="W84" i="8"/>
  <c r="U84" i="8"/>
  <c r="S84" i="8"/>
  <c r="Q84" i="8"/>
  <c r="O84" i="8"/>
  <c r="M84" i="8"/>
  <c r="K84" i="8"/>
  <c r="I84" i="8"/>
  <c r="G84" i="8"/>
  <c r="E84" i="8"/>
  <c r="AA83" i="8"/>
  <c r="Y83" i="8"/>
  <c r="W83" i="8"/>
  <c r="U83" i="8"/>
  <c r="S83" i="8"/>
  <c r="Q83" i="8"/>
  <c r="O83" i="8"/>
  <c r="M83" i="8"/>
  <c r="K83" i="8"/>
  <c r="I83" i="8"/>
  <c r="G83" i="8"/>
  <c r="E83" i="8"/>
  <c r="AA82" i="8"/>
  <c r="Y82" i="8"/>
  <c r="W82" i="8"/>
  <c r="U82" i="8"/>
  <c r="S82" i="8"/>
  <c r="Q82" i="8"/>
  <c r="O82" i="8"/>
  <c r="M82" i="8"/>
  <c r="K82" i="8"/>
  <c r="I82" i="8"/>
  <c r="G82" i="8"/>
  <c r="E82" i="8"/>
  <c r="W69" i="8"/>
  <c r="U69" i="8"/>
  <c r="S69" i="8"/>
  <c r="Q69" i="8"/>
  <c r="O69" i="8"/>
  <c r="M69" i="8"/>
  <c r="K69" i="8"/>
  <c r="I69" i="8"/>
  <c r="G69" i="8"/>
  <c r="E69" i="8"/>
  <c r="AA68" i="8"/>
  <c r="Y68" i="8"/>
  <c r="W68" i="8"/>
  <c r="U68" i="8"/>
  <c r="S68" i="8"/>
  <c r="Q68" i="8"/>
  <c r="O68" i="8"/>
  <c r="M68" i="8"/>
  <c r="K68" i="8"/>
  <c r="I68" i="8"/>
  <c r="G68" i="8"/>
  <c r="E68" i="8"/>
  <c r="AA65" i="8"/>
  <c r="AA64" i="8"/>
  <c r="Y65" i="8"/>
  <c r="Y64" i="8"/>
  <c r="W65" i="8"/>
  <c r="W64" i="8"/>
  <c r="U65" i="8"/>
  <c r="U64" i="8"/>
  <c r="S65" i="8"/>
  <c r="S64" i="8"/>
  <c r="Q65" i="8"/>
  <c r="Q64" i="8"/>
  <c r="O65" i="8"/>
  <c r="O64" i="8"/>
  <c r="M65" i="8"/>
  <c r="M64" i="8"/>
  <c r="K65" i="8"/>
  <c r="K64" i="8"/>
  <c r="I65" i="8"/>
  <c r="I64" i="8"/>
  <c r="G65" i="8"/>
  <c r="G64" i="8"/>
  <c r="E65" i="8"/>
  <c r="E64" i="8"/>
  <c r="G60" i="8"/>
  <c r="E60" i="8"/>
  <c r="Q67" i="7"/>
  <c r="Q66" i="7"/>
  <c r="Q65" i="7"/>
  <c r="Q64" i="7"/>
  <c r="Q63" i="7"/>
  <c r="Q62" i="7"/>
  <c r="J10" i="21" s="1"/>
  <c r="Q61" i="7"/>
  <c r="Q60" i="7"/>
  <c r="Q59" i="7"/>
  <c r="Q58" i="7"/>
  <c r="Q57" i="7"/>
  <c r="Q56" i="7"/>
  <c r="Q55" i="7"/>
  <c r="Q54" i="7"/>
  <c r="Q53" i="7"/>
  <c r="Q52" i="7"/>
  <c r="Q48" i="7"/>
  <c r="Q47" i="7"/>
  <c r="Q46" i="7"/>
  <c r="Q45" i="7"/>
  <c r="Q44" i="7"/>
  <c r="Q43" i="7"/>
  <c r="I10" i="21" s="1"/>
  <c r="Q42" i="7"/>
  <c r="Q41" i="7"/>
  <c r="Q40" i="7"/>
  <c r="Q39" i="7"/>
  <c r="Q38" i="7"/>
  <c r="Q37" i="7"/>
  <c r="Q36" i="7"/>
  <c r="Q35" i="7"/>
  <c r="Q34" i="7"/>
  <c r="Q33" i="7"/>
  <c r="Q28" i="7"/>
  <c r="Q29" i="7"/>
  <c r="Q15" i="7"/>
  <c r="Q16" i="7"/>
  <c r="Q17" i="7"/>
  <c r="Q18" i="7"/>
  <c r="Q19" i="7"/>
  <c r="Q20" i="7"/>
  <c r="Q21" i="7"/>
  <c r="Q22" i="7"/>
  <c r="Q23" i="7"/>
  <c r="Q24" i="7"/>
  <c r="H10" i="21" s="1"/>
  <c r="Q25" i="7"/>
  <c r="Q26" i="7"/>
  <c r="Q27" i="7"/>
  <c r="Q14" i="7"/>
  <c r="E14" i="8"/>
  <c r="E13" i="8"/>
  <c r="E12" i="8"/>
  <c r="E36" i="8"/>
  <c r="E35" i="8"/>
  <c r="E34" i="8"/>
  <c r="E33" i="8"/>
  <c r="E32" i="8"/>
  <c r="E31" i="8"/>
  <c r="E25" i="8"/>
  <c r="E24" i="8"/>
  <c r="E23" i="8"/>
  <c r="E22" i="8"/>
  <c r="E21" i="8"/>
  <c r="E20" i="8"/>
  <c r="C152" i="4"/>
  <c r="C151" i="4"/>
  <c r="C150" i="4"/>
  <c r="AA152" i="4"/>
  <c r="Y152" i="4"/>
  <c r="W152" i="4"/>
  <c r="U152" i="4"/>
  <c r="S152" i="4"/>
  <c r="Q152" i="4"/>
  <c r="O152" i="4"/>
  <c r="M152" i="4"/>
  <c r="K152" i="4"/>
  <c r="I152" i="4"/>
  <c r="G152" i="4"/>
  <c r="E152" i="4"/>
  <c r="D148" i="4"/>
  <c r="AA151" i="4"/>
  <c r="Y151" i="4"/>
  <c r="W151" i="4"/>
  <c r="U151" i="4"/>
  <c r="S151" i="4"/>
  <c r="Q151" i="4"/>
  <c r="O151" i="4"/>
  <c r="M151" i="4"/>
  <c r="K151" i="4"/>
  <c r="I151" i="4"/>
  <c r="G151" i="4"/>
  <c r="E151" i="4"/>
  <c r="D146" i="4"/>
  <c r="D144" i="4"/>
  <c r="D143" i="4"/>
  <c r="C100" i="4"/>
  <c r="C99" i="4"/>
  <c r="C98" i="4"/>
  <c r="AA100" i="4"/>
  <c r="Y100" i="4"/>
  <c r="W100" i="4"/>
  <c r="U100" i="4"/>
  <c r="S100" i="4"/>
  <c r="Q100" i="4"/>
  <c r="O100" i="4"/>
  <c r="M100" i="4"/>
  <c r="K100" i="4"/>
  <c r="I100" i="4"/>
  <c r="G100" i="4"/>
  <c r="E100" i="4"/>
  <c r="D96" i="4"/>
  <c r="AA99" i="4"/>
  <c r="Y99" i="4"/>
  <c r="W99" i="4"/>
  <c r="U99" i="4"/>
  <c r="S99" i="4"/>
  <c r="Q99" i="4"/>
  <c r="O99" i="4"/>
  <c r="M99" i="4"/>
  <c r="K99" i="4"/>
  <c r="I99" i="4"/>
  <c r="G99" i="4"/>
  <c r="E99" i="4"/>
  <c r="D94" i="4"/>
  <c r="D92" i="4"/>
  <c r="D91" i="4"/>
  <c r="C47" i="4"/>
  <c r="C49" i="4"/>
  <c r="C48" i="4"/>
  <c r="AA45" i="4"/>
  <c r="Y45" i="4"/>
  <c r="W45" i="4"/>
  <c r="U45" i="4"/>
  <c r="S45" i="4"/>
  <c r="Q45" i="4"/>
  <c r="O45" i="4"/>
  <c r="M45" i="4"/>
  <c r="K45" i="4"/>
  <c r="I45" i="4"/>
  <c r="G45" i="4"/>
  <c r="E45" i="4"/>
  <c r="AA43" i="4"/>
  <c r="Y43" i="4"/>
  <c r="W43" i="4"/>
  <c r="U43" i="4"/>
  <c r="S43" i="4"/>
  <c r="Q43" i="4"/>
  <c r="O43" i="4"/>
  <c r="M43" i="4"/>
  <c r="K43" i="4"/>
  <c r="I43" i="4"/>
  <c r="G48" i="4"/>
  <c r="E48" i="4"/>
  <c r="AA41" i="4"/>
  <c r="AB57" i="5" s="1"/>
  <c r="AC57" i="5" s="1"/>
  <c r="AA40" i="4"/>
  <c r="AB56" i="5" s="1"/>
  <c r="Y41" i="4"/>
  <c r="Z57" i="5" s="1"/>
  <c r="Y40" i="4"/>
  <c r="Z56" i="5" s="1"/>
  <c r="AA56" i="5" s="1"/>
  <c r="W41" i="4"/>
  <c r="X57" i="5" s="1"/>
  <c r="Y57" i="5" s="1"/>
  <c r="W40" i="4"/>
  <c r="X56" i="5" s="1"/>
  <c r="U41" i="4"/>
  <c r="V57" i="5" s="1"/>
  <c r="W57" i="5" s="1"/>
  <c r="U40" i="4"/>
  <c r="V56" i="5" s="1"/>
  <c r="S40" i="4"/>
  <c r="T56" i="5" s="1"/>
  <c r="S41" i="4"/>
  <c r="T57" i="5" s="1"/>
  <c r="U57" i="5" s="1"/>
  <c r="Q41" i="4"/>
  <c r="R57" i="5" s="1"/>
  <c r="Q40" i="4"/>
  <c r="R56" i="5" s="1"/>
  <c r="S56" i="5" s="1"/>
  <c r="O41" i="4"/>
  <c r="P57" i="5" s="1"/>
  <c r="Q57" i="5" s="1"/>
  <c r="O40" i="4"/>
  <c r="P56" i="5" s="1"/>
  <c r="M41" i="4"/>
  <c r="N57" i="5" s="1"/>
  <c r="O57" i="5" s="1"/>
  <c r="M40" i="4"/>
  <c r="N56" i="5" s="1"/>
  <c r="K41" i="4"/>
  <c r="L57" i="5" s="1"/>
  <c r="M57" i="5" s="1"/>
  <c r="K40" i="4"/>
  <c r="L56" i="5" s="1"/>
  <c r="I41" i="4"/>
  <c r="J57" i="5" s="1"/>
  <c r="K57" i="5" s="1"/>
  <c r="I40" i="4"/>
  <c r="J56" i="5" s="1"/>
  <c r="D40" i="4"/>
  <c r="D45" i="4"/>
  <c r="D43" i="4"/>
  <c r="AB43" i="4" s="1"/>
  <c r="D41" i="4"/>
  <c r="AA67" i="8"/>
  <c r="Y67" i="8"/>
  <c r="W67" i="8"/>
  <c r="U67" i="8"/>
  <c r="S67" i="8"/>
  <c r="Q67" i="8"/>
  <c r="O67" i="8"/>
  <c r="M67" i="8"/>
  <c r="K67" i="8"/>
  <c r="I67" i="8"/>
  <c r="G67" i="8"/>
  <c r="E67" i="8"/>
  <c r="AA63" i="8"/>
  <c r="Y63" i="8"/>
  <c r="W63" i="8"/>
  <c r="U63" i="8"/>
  <c r="S63" i="8"/>
  <c r="Q63" i="8"/>
  <c r="O63" i="8"/>
  <c r="M63" i="8"/>
  <c r="K63" i="8"/>
  <c r="I63" i="8"/>
  <c r="G63" i="8"/>
  <c r="E63" i="8"/>
  <c r="F16" i="3"/>
  <c r="D16" i="3"/>
  <c r="F13" i="3"/>
  <c r="D24" i="3" s="1"/>
  <c r="AC79" i="5" l="1"/>
  <c r="M70" i="5"/>
  <c r="O70" i="5"/>
  <c r="Q79" i="5"/>
  <c r="AA79" i="5"/>
  <c r="Q70" i="5"/>
  <c r="W79" i="5"/>
  <c r="G79" i="5"/>
  <c r="U70" i="5"/>
  <c r="G70" i="5"/>
  <c r="S70" i="5"/>
  <c r="AA70" i="5"/>
  <c r="U79" i="5"/>
  <c r="K70" i="5"/>
  <c r="I70" i="5"/>
  <c r="O79" i="5"/>
  <c r="K79" i="5"/>
  <c r="M79" i="5"/>
  <c r="Y70" i="5"/>
  <c r="I79" i="5"/>
  <c r="W70" i="5"/>
  <c r="AC70" i="5"/>
  <c r="G9" i="17"/>
  <c r="G23" i="17" s="1"/>
  <c r="G28" i="17" s="1"/>
  <c r="G9" i="20"/>
  <c r="G23" i="20" s="1"/>
  <c r="G28" i="20" s="1"/>
  <c r="G9" i="15"/>
  <c r="G23" i="15" s="1"/>
  <c r="G28" i="15" s="1"/>
  <c r="G9" i="16"/>
  <c r="G23" i="16" s="1"/>
  <c r="G28" i="16" s="1"/>
  <c r="Y79" i="5"/>
  <c r="S79" i="5"/>
  <c r="D7" i="12"/>
  <c r="D7" i="13"/>
  <c r="D6" i="11"/>
  <c r="N7" i="10"/>
  <c r="K6" i="9"/>
  <c r="D23" i="3"/>
  <c r="D7" i="6"/>
  <c r="E9" i="7"/>
  <c r="F7" i="4"/>
  <c r="AB65" i="8"/>
  <c r="O56" i="5"/>
  <c r="W56" i="5"/>
  <c r="M48" i="4"/>
  <c r="N58" i="5"/>
  <c r="O58" i="5" s="1"/>
  <c r="E49" i="4"/>
  <c r="F59" i="5"/>
  <c r="Q48" i="4"/>
  <c r="R58" i="5"/>
  <c r="S58" i="5" s="1"/>
  <c r="I49" i="4"/>
  <c r="J59" i="5"/>
  <c r="K59" i="5" s="1"/>
  <c r="Y49" i="4"/>
  <c r="Z59" i="5"/>
  <c r="AA59" i="5" s="1"/>
  <c r="M56" i="5"/>
  <c r="AC56" i="5"/>
  <c r="O48" i="4"/>
  <c r="P58" i="5"/>
  <c r="Q58" i="5" s="1"/>
  <c r="W48" i="4"/>
  <c r="X58" i="5"/>
  <c r="Y58" i="5" s="1"/>
  <c r="G49" i="4"/>
  <c r="H59" i="5"/>
  <c r="O49" i="4"/>
  <c r="P59" i="5"/>
  <c r="Q59" i="5" s="1"/>
  <c r="W49" i="4"/>
  <c r="X59" i="5"/>
  <c r="Y59" i="5" s="1"/>
  <c r="U49" i="4"/>
  <c r="V59" i="5"/>
  <c r="W59" i="5" s="1"/>
  <c r="M49" i="4"/>
  <c r="N59" i="5"/>
  <c r="O59" i="5" s="1"/>
  <c r="Q56" i="5"/>
  <c r="S57" i="5"/>
  <c r="U56" i="5"/>
  <c r="Y56" i="5"/>
  <c r="AA57" i="5"/>
  <c r="K48" i="4"/>
  <c r="L58" i="5"/>
  <c r="M58" i="5" s="1"/>
  <c r="S48" i="4"/>
  <c r="T58" i="5"/>
  <c r="U58" i="5" s="1"/>
  <c r="AA48" i="4"/>
  <c r="AB58" i="5"/>
  <c r="AC58" i="5" s="1"/>
  <c r="K49" i="4"/>
  <c r="L59" i="5"/>
  <c r="M59" i="5" s="1"/>
  <c r="S49" i="4"/>
  <c r="T59" i="5"/>
  <c r="U59" i="5" s="1"/>
  <c r="AA49" i="4"/>
  <c r="AB59" i="5"/>
  <c r="AC59" i="5" s="1"/>
  <c r="U48" i="4"/>
  <c r="V58" i="5"/>
  <c r="W58" i="5" s="1"/>
  <c r="K56" i="5"/>
  <c r="I48" i="4"/>
  <c r="J58" i="5"/>
  <c r="K58" i="5" s="1"/>
  <c r="Y48" i="4"/>
  <c r="Z58" i="5"/>
  <c r="AA58" i="5" s="1"/>
  <c r="Q49" i="4"/>
  <c r="R59" i="5"/>
  <c r="S59" i="5" s="1"/>
  <c r="Z40" i="4"/>
  <c r="C14" i="6"/>
  <c r="Z148" i="4"/>
  <c r="V148" i="4"/>
  <c r="R148" i="4"/>
  <c r="N148" i="4"/>
  <c r="J148" i="4"/>
  <c r="F148" i="4"/>
  <c r="AB148" i="4"/>
  <c r="X148" i="4"/>
  <c r="T148" i="4"/>
  <c r="P148" i="4"/>
  <c r="L148" i="4"/>
  <c r="H148" i="4"/>
  <c r="X146" i="4"/>
  <c r="R146" i="4"/>
  <c r="J146" i="4"/>
  <c r="P146" i="4"/>
  <c r="H146" i="4"/>
  <c r="F146" i="4"/>
  <c r="AB146" i="4"/>
  <c r="V146" i="4"/>
  <c r="N146" i="4"/>
  <c r="Z146" i="4"/>
  <c r="T146" i="4"/>
  <c r="L146" i="4"/>
  <c r="AB144" i="4"/>
  <c r="V144" i="4"/>
  <c r="N144" i="4"/>
  <c r="P144" i="4"/>
  <c r="H144" i="4"/>
  <c r="X144" i="4"/>
  <c r="R144" i="4"/>
  <c r="J144" i="4"/>
  <c r="Z144" i="4"/>
  <c r="T144" i="4"/>
  <c r="L144" i="4"/>
  <c r="Z143" i="4"/>
  <c r="V143" i="4"/>
  <c r="R143" i="4"/>
  <c r="N143" i="4"/>
  <c r="J143" i="4"/>
  <c r="AB143" i="4"/>
  <c r="X143" i="4"/>
  <c r="T143" i="4"/>
  <c r="P143" i="4"/>
  <c r="L143" i="4"/>
  <c r="H143" i="4"/>
  <c r="AB92" i="4"/>
  <c r="T92" i="4"/>
  <c r="P92" i="4"/>
  <c r="R92" i="4"/>
  <c r="H92" i="4"/>
  <c r="J92" i="4"/>
  <c r="V92" i="4"/>
  <c r="L92" i="4"/>
  <c r="Z92" i="4"/>
  <c r="X92" i="4"/>
  <c r="N92" i="4"/>
  <c r="J91" i="4"/>
  <c r="R91" i="4"/>
  <c r="P91" i="4"/>
  <c r="AB91" i="4"/>
  <c r="Z91" i="4"/>
  <c r="X91" i="4"/>
  <c r="V91" i="4"/>
  <c r="T91" i="4"/>
  <c r="L91" i="4"/>
  <c r="N91" i="4"/>
  <c r="F96" i="4"/>
  <c r="V96" i="4"/>
  <c r="Z96" i="4"/>
  <c r="H96" i="4"/>
  <c r="P96" i="4"/>
  <c r="N96" i="4"/>
  <c r="J96" i="4"/>
  <c r="X96" i="4"/>
  <c r="R96" i="4"/>
  <c r="AB96" i="4"/>
  <c r="T96" i="4"/>
  <c r="L96" i="4"/>
  <c r="AB94" i="4"/>
  <c r="N94" i="4"/>
  <c r="H94" i="4"/>
  <c r="F94" i="4"/>
  <c r="Z94" i="4"/>
  <c r="V94" i="4"/>
  <c r="P94" i="4"/>
  <c r="J94" i="4"/>
  <c r="X94" i="4"/>
  <c r="T94" i="4"/>
  <c r="R94" i="4"/>
  <c r="L94" i="4"/>
  <c r="I47" i="4"/>
  <c r="G47" i="4"/>
  <c r="W47" i="4"/>
  <c r="E47" i="4"/>
  <c r="K47" i="4"/>
  <c r="F40" i="4"/>
  <c r="V43" i="4"/>
  <c r="J43" i="4"/>
  <c r="M47" i="4"/>
  <c r="U47" i="4"/>
  <c r="AA47" i="4"/>
  <c r="F43" i="4"/>
  <c r="D17" i="6"/>
  <c r="S47" i="4"/>
  <c r="O47" i="4"/>
  <c r="N43" i="4"/>
  <c r="Z43" i="4"/>
  <c r="D14" i="6"/>
  <c r="H40" i="4"/>
  <c r="L40" i="4"/>
  <c r="P40" i="4"/>
  <c r="T40" i="4"/>
  <c r="X40" i="4"/>
  <c r="AB40" i="4"/>
  <c r="AB45" i="4"/>
  <c r="C19" i="6"/>
  <c r="C50" i="4"/>
  <c r="C101" i="4"/>
  <c r="I150" i="4"/>
  <c r="E17" i="6"/>
  <c r="E15" i="6"/>
  <c r="G6" i="8"/>
  <c r="Z41" i="4"/>
  <c r="C15" i="6"/>
  <c r="Q47" i="4"/>
  <c r="Y47" i="4"/>
  <c r="E14" i="6"/>
  <c r="E19" i="6"/>
  <c r="D19" i="6"/>
  <c r="AB84" i="8"/>
  <c r="AB85" i="8"/>
  <c r="AB86" i="8"/>
  <c r="AB87" i="8"/>
  <c r="AB89" i="8"/>
  <c r="I12" i="21" s="1"/>
  <c r="I13" i="21" s="1"/>
  <c r="AB90" i="8"/>
  <c r="AB106" i="8"/>
  <c r="AB109" i="8"/>
  <c r="R43" i="4"/>
  <c r="E98" i="4"/>
  <c r="M98" i="4"/>
  <c r="AB64" i="8"/>
  <c r="C153" i="4"/>
  <c r="C17" i="6"/>
  <c r="D15" i="6"/>
  <c r="AB68" i="8"/>
  <c r="AB113" i="8"/>
  <c r="AB112" i="8"/>
  <c r="AB111" i="8"/>
  <c r="J12" i="21" s="1"/>
  <c r="J13" i="21" s="1"/>
  <c r="AB108" i="8"/>
  <c r="AB107" i="8"/>
  <c r="AB105" i="8"/>
  <c r="AB104" i="8"/>
  <c r="AB91" i="8"/>
  <c r="AB83" i="8"/>
  <c r="AB82" i="8"/>
  <c r="Q68" i="7"/>
  <c r="Q49" i="7"/>
  <c r="Q30" i="7"/>
  <c r="E61" i="8"/>
  <c r="E15" i="8"/>
  <c r="C100" i="8" s="1"/>
  <c r="E37" i="8"/>
  <c r="C102" i="8" s="1"/>
  <c r="E26" i="8"/>
  <c r="C101" i="8" s="1"/>
  <c r="G150" i="4"/>
  <c r="O150" i="4"/>
  <c r="W150" i="4"/>
  <c r="K150" i="4"/>
  <c r="S150" i="4"/>
  <c r="AA150" i="4"/>
  <c r="E150" i="4"/>
  <c r="M150" i="4"/>
  <c r="U150" i="4"/>
  <c r="F143" i="4"/>
  <c r="Q150" i="4"/>
  <c r="Y150" i="4"/>
  <c r="F144" i="4"/>
  <c r="D149" i="4"/>
  <c r="U98" i="4"/>
  <c r="G98" i="4"/>
  <c r="O98" i="4"/>
  <c r="W98" i="4"/>
  <c r="I98" i="4"/>
  <c r="Q98" i="4"/>
  <c r="Y98" i="4"/>
  <c r="K98" i="4"/>
  <c r="S98" i="4"/>
  <c r="AA98" i="4"/>
  <c r="F92" i="4"/>
  <c r="F91" i="4"/>
  <c r="D97" i="4"/>
  <c r="H91" i="4"/>
  <c r="R41" i="4"/>
  <c r="H41" i="4"/>
  <c r="L41" i="4"/>
  <c r="P41" i="4"/>
  <c r="T41" i="4"/>
  <c r="X41" i="4"/>
  <c r="AB41" i="4"/>
  <c r="N41" i="4"/>
  <c r="F41" i="4"/>
  <c r="F45" i="4"/>
  <c r="J45" i="4"/>
  <c r="N45" i="4"/>
  <c r="R45" i="4"/>
  <c r="V45" i="4"/>
  <c r="Z45" i="4"/>
  <c r="J41" i="4"/>
  <c r="V41" i="4"/>
  <c r="J40" i="4"/>
  <c r="N40" i="4"/>
  <c r="R40" i="4"/>
  <c r="V40" i="4"/>
  <c r="H43" i="4"/>
  <c r="L43" i="4"/>
  <c r="P43" i="4"/>
  <c r="T43" i="4"/>
  <c r="X43" i="4"/>
  <c r="H45" i="4"/>
  <c r="L45" i="4"/>
  <c r="P45" i="4"/>
  <c r="T45" i="4"/>
  <c r="X45" i="4"/>
  <c r="D46" i="4"/>
  <c r="K61" i="8"/>
  <c r="S61" i="8"/>
  <c r="AA61" i="8"/>
  <c r="I61" i="8"/>
  <c r="Q61" i="8"/>
  <c r="Y61" i="8"/>
  <c r="G61" i="8"/>
  <c r="O61" i="8"/>
  <c r="W61" i="8"/>
  <c r="E62" i="8"/>
  <c r="M62" i="8"/>
  <c r="U62" i="8"/>
  <c r="M61" i="8"/>
  <c r="U61" i="8"/>
  <c r="AB63" i="8"/>
  <c r="AB67" i="8"/>
  <c r="H12" i="21" s="1"/>
  <c r="H13" i="21" s="1"/>
  <c r="S60" i="8"/>
  <c r="G62" i="8"/>
  <c r="O62" i="8"/>
  <c r="S62" i="8"/>
  <c r="W62" i="8"/>
  <c r="AA62" i="8"/>
  <c r="I62" i="8"/>
  <c r="Q62" i="8"/>
  <c r="Y62" i="8"/>
  <c r="D25" i="3"/>
  <c r="Q101" i="8" l="1"/>
  <c r="W101" i="8"/>
  <c r="G101" i="8"/>
  <c r="M101" i="8"/>
  <c r="O101" i="8"/>
  <c r="Y101" i="8"/>
  <c r="S101" i="8"/>
  <c r="I101" i="8"/>
  <c r="K101" i="8"/>
  <c r="U101" i="8"/>
  <c r="E101" i="8"/>
  <c r="AA101" i="8"/>
  <c r="F9" i="16"/>
  <c r="F23" i="16" s="1"/>
  <c r="F28" i="16" s="1"/>
  <c r="F9" i="20"/>
  <c r="F23" i="20" s="1"/>
  <c r="F28" i="20" s="1"/>
  <c r="F9" i="17"/>
  <c r="F23" i="17" s="1"/>
  <c r="F28" i="17" s="1"/>
  <c r="F9" i="15"/>
  <c r="F23" i="15" s="1"/>
  <c r="F28" i="15" s="1"/>
  <c r="AA102" i="8"/>
  <c r="K102" i="8"/>
  <c r="Q102" i="8"/>
  <c r="W102" i="8"/>
  <c r="G102" i="8"/>
  <c r="Y102" i="8"/>
  <c r="S102" i="8"/>
  <c r="I102" i="8"/>
  <c r="M102" i="8"/>
  <c r="U102" i="8"/>
  <c r="O102" i="8"/>
  <c r="E102" i="8"/>
  <c r="D6" i="6"/>
  <c r="H9" i="15"/>
  <c r="H23" i="15" s="1"/>
  <c r="H28" i="15" s="1"/>
  <c r="H9" i="20"/>
  <c r="H23" i="20" s="1"/>
  <c r="H28" i="20" s="1"/>
  <c r="H9" i="16"/>
  <c r="H23" i="16" s="1"/>
  <c r="H28" i="16" s="1"/>
  <c r="H9" i="17"/>
  <c r="H23" i="17" s="1"/>
  <c r="H28" i="17" s="1"/>
  <c r="J8" i="7"/>
  <c r="G13" i="13" s="1"/>
  <c r="D20" i="10"/>
  <c r="E28" i="10" s="1"/>
  <c r="I8" i="7"/>
  <c r="F13" i="13" s="1"/>
  <c r="D13" i="10"/>
  <c r="D28" i="10" s="1"/>
  <c r="H8" i="7"/>
  <c r="E13" i="13" s="1"/>
  <c r="D6" i="10"/>
  <c r="C28" i="10" s="1"/>
  <c r="E10" i="7"/>
  <c r="D8" i="12"/>
  <c r="D8" i="13"/>
  <c r="D7" i="11"/>
  <c r="N8" i="10"/>
  <c r="K7" i="9"/>
  <c r="D6" i="12"/>
  <c r="D6" i="13"/>
  <c r="D5" i="11"/>
  <c r="N6" i="10"/>
  <c r="K5" i="9"/>
  <c r="W60" i="5"/>
  <c r="P60" i="5"/>
  <c r="F6" i="4"/>
  <c r="E8" i="7"/>
  <c r="G5" i="8"/>
  <c r="O60" i="5"/>
  <c r="Q60" i="5"/>
  <c r="S60" i="5"/>
  <c r="C80" i="8"/>
  <c r="C58" i="8"/>
  <c r="C78" i="8"/>
  <c r="C56" i="8"/>
  <c r="C79" i="8"/>
  <c r="C57" i="8"/>
  <c r="K60" i="5"/>
  <c r="Z60" i="5"/>
  <c r="T60" i="5"/>
  <c r="AB60" i="5"/>
  <c r="J60" i="5"/>
  <c r="AA60" i="5"/>
  <c r="U60" i="5"/>
  <c r="AC60" i="5"/>
  <c r="N60" i="5"/>
  <c r="Y60" i="5"/>
  <c r="R60" i="5"/>
  <c r="M60" i="5"/>
  <c r="I59" i="5"/>
  <c r="I60" i="5" s="1"/>
  <c r="H60" i="5"/>
  <c r="G59" i="5"/>
  <c r="G60" i="5" s="1"/>
  <c r="X60" i="5"/>
  <c r="L60" i="5"/>
  <c r="V60" i="5"/>
  <c r="K50" i="4"/>
  <c r="E55" i="8"/>
  <c r="M50" i="4"/>
  <c r="W55" i="8"/>
  <c r="E50" i="4"/>
  <c r="U50" i="4"/>
  <c r="W50" i="4"/>
  <c r="AA50" i="4"/>
  <c r="AB97" i="4"/>
  <c r="S50" i="4"/>
  <c r="U55" i="8"/>
  <c r="AA55" i="8"/>
  <c r="N46" i="4"/>
  <c r="K55" i="8"/>
  <c r="S55" i="8"/>
  <c r="O55" i="8"/>
  <c r="M55" i="8"/>
  <c r="E20" i="6"/>
  <c r="G55" i="8"/>
  <c r="O50" i="4"/>
  <c r="D20" i="6"/>
  <c r="C20" i="6"/>
  <c r="G50" i="4"/>
  <c r="X46" i="4"/>
  <c r="H46" i="4"/>
  <c r="Q50" i="4"/>
  <c r="Q55" i="8"/>
  <c r="Z46" i="4"/>
  <c r="U153" i="4"/>
  <c r="U99" i="8"/>
  <c r="S153" i="4"/>
  <c r="S99" i="8"/>
  <c r="U56" i="8"/>
  <c r="I50" i="4"/>
  <c r="I55" i="8"/>
  <c r="Y101" i="4"/>
  <c r="Y77" i="8"/>
  <c r="I101" i="4"/>
  <c r="I77" i="8"/>
  <c r="U101" i="4"/>
  <c r="U77" i="8"/>
  <c r="G153" i="4"/>
  <c r="G99" i="8"/>
  <c r="E101" i="4"/>
  <c r="E77" i="8"/>
  <c r="AB46" i="4"/>
  <c r="F46" i="4"/>
  <c r="W101" i="4"/>
  <c r="W77" i="8"/>
  <c r="AB149" i="4"/>
  <c r="D8" i="6"/>
  <c r="L46" i="4"/>
  <c r="V46" i="4"/>
  <c r="S101" i="4"/>
  <c r="S77" i="8"/>
  <c r="O101" i="4"/>
  <c r="O77" i="8"/>
  <c r="Q153" i="4"/>
  <c r="Q99" i="8"/>
  <c r="M153" i="4"/>
  <c r="M99" i="8"/>
  <c r="K153" i="4"/>
  <c r="K99" i="8"/>
  <c r="W153" i="4"/>
  <c r="W99" i="8"/>
  <c r="I153" i="4"/>
  <c r="I99" i="8"/>
  <c r="P46" i="4"/>
  <c r="AA153" i="4"/>
  <c r="AA99" i="8"/>
  <c r="AA101" i="4"/>
  <c r="AA77" i="8"/>
  <c r="Y153" i="4"/>
  <c r="Y99" i="8"/>
  <c r="R46" i="4"/>
  <c r="J46" i="4"/>
  <c r="T46" i="4"/>
  <c r="K101" i="4"/>
  <c r="K77" i="8"/>
  <c r="Q101" i="4"/>
  <c r="Q77" i="8"/>
  <c r="G101" i="4"/>
  <c r="G77" i="8"/>
  <c r="E153" i="4"/>
  <c r="E99" i="8"/>
  <c r="O153" i="4"/>
  <c r="O99" i="8"/>
  <c r="M101" i="4"/>
  <c r="M77" i="8"/>
  <c r="Y50" i="4"/>
  <c r="Y55" i="8"/>
  <c r="Z149" i="4"/>
  <c r="R149" i="4"/>
  <c r="X149" i="4"/>
  <c r="H149" i="4"/>
  <c r="F149" i="4"/>
  <c r="V149" i="4"/>
  <c r="J149" i="4"/>
  <c r="N149" i="4"/>
  <c r="L149" i="4"/>
  <c r="T149" i="4"/>
  <c r="P149" i="4"/>
  <c r="F97" i="4"/>
  <c r="V97" i="4"/>
  <c r="L97" i="4"/>
  <c r="X97" i="4"/>
  <c r="H97" i="4"/>
  <c r="R97" i="4"/>
  <c r="P97" i="4"/>
  <c r="Z97" i="4"/>
  <c r="J97" i="4"/>
  <c r="T97" i="4"/>
  <c r="N97" i="4"/>
  <c r="F8" i="4"/>
  <c r="G7" i="8"/>
  <c r="O60" i="8"/>
  <c r="AB61" i="8"/>
  <c r="W60" i="8"/>
  <c r="K60" i="8"/>
  <c r="Y60" i="8"/>
  <c r="U60" i="8"/>
  <c r="Q60" i="8"/>
  <c r="M60" i="8"/>
  <c r="I60" i="8"/>
  <c r="AA60" i="8"/>
  <c r="AB101" i="8" l="1"/>
  <c r="AB102" i="8"/>
  <c r="E12" i="13"/>
  <c r="C10" i="21" s="1"/>
  <c r="E4" i="21"/>
  <c r="H14" i="21" s="1"/>
  <c r="G12" i="13"/>
  <c r="E12" i="21" s="1"/>
  <c r="G4" i="21"/>
  <c r="J14" i="21" s="1"/>
  <c r="F12" i="13"/>
  <c r="D12" i="21" s="1"/>
  <c r="F4" i="21"/>
  <c r="I14" i="21" s="1"/>
  <c r="H10" i="15"/>
  <c r="H24" i="15" s="1"/>
  <c r="H10" i="20"/>
  <c r="H24" i="20" s="1"/>
  <c r="H10" i="16"/>
  <c r="H24" i="16" s="1"/>
  <c r="H10" i="17"/>
  <c r="H24" i="17" s="1"/>
  <c r="G10" i="15"/>
  <c r="G24" i="15" s="1"/>
  <c r="G10" i="16"/>
  <c r="G24" i="16" s="1"/>
  <c r="G10" i="20"/>
  <c r="G24" i="20" s="1"/>
  <c r="G10" i="17"/>
  <c r="G24" i="17" s="1"/>
  <c r="F10" i="17"/>
  <c r="F24" i="17" s="1"/>
  <c r="F10" i="15"/>
  <c r="F24" i="15" s="1"/>
  <c r="F10" i="20"/>
  <c r="F24" i="20" s="1"/>
  <c r="F10" i="16"/>
  <c r="F24" i="16" s="1"/>
  <c r="Y79" i="8"/>
  <c r="Q79" i="8"/>
  <c r="I79" i="8"/>
  <c r="AA79" i="8"/>
  <c r="S79" i="8"/>
  <c r="K79" i="8"/>
  <c r="E79" i="8"/>
  <c r="U79" i="8"/>
  <c r="M79" i="8"/>
  <c r="W79" i="8"/>
  <c r="O79" i="8"/>
  <c r="G79" i="8"/>
  <c r="AA80" i="8"/>
  <c r="S80" i="8"/>
  <c r="K80" i="8"/>
  <c r="E80" i="8"/>
  <c r="U80" i="8"/>
  <c r="M80" i="8"/>
  <c r="W80" i="8"/>
  <c r="O80" i="8"/>
  <c r="G80" i="8"/>
  <c r="Y80" i="8"/>
  <c r="Q80" i="8"/>
  <c r="I80" i="8"/>
  <c r="W57" i="8"/>
  <c r="AA57" i="8"/>
  <c r="Y57" i="8"/>
  <c r="I57" i="8"/>
  <c r="G57" i="8"/>
  <c r="Q57" i="8"/>
  <c r="O57" i="8"/>
  <c r="M57" i="8"/>
  <c r="E57" i="8"/>
  <c r="S57" i="8"/>
  <c r="K57" i="8"/>
  <c r="U57" i="8"/>
  <c r="U58" i="8"/>
  <c r="S58" i="8"/>
  <c r="Q58" i="8"/>
  <c r="AA58" i="8"/>
  <c r="Y58" i="8"/>
  <c r="W58" i="8"/>
  <c r="O58" i="8"/>
  <c r="M58" i="8"/>
  <c r="K58" i="8"/>
  <c r="I58" i="8"/>
  <c r="G58" i="8"/>
  <c r="E58" i="8"/>
  <c r="I56" i="8"/>
  <c r="E56" i="8"/>
  <c r="S56" i="8"/>
  <c r="B154" i="4"/>
  <c r="B102" i="4"/>
  <c r="B51" i="4"/>
  <c r="AB55" i="8"/>
  <c r="M56" i="8"/>
  <c r="AA56" i="8"/>
  <c r="K56" i="8"/>
  <c r="Q56" i="8"/>
  <c r="AB99" i="8"/>
  <c r="O78" i="8"/>
  <c r="M78" i="8"/>
  <c r="E78" i="8"/>
  <c r="AA78" i="8"/>
  <c r="Q78" i="8"/>
  <c r="S78" i="8"/>
  <c r="U78" i="8"/>
  <c r="Y78" i="8"/>
  <c r="G78" i="8"/>
  <c r="K78" i="8"/>
  <c r="W78" i="8"/>
  <c r="I78" i="8"/>
  <c r="G56" i="8"/>
  <c r="Y56" i="8"/>
  <c r="W56" i="8"/>
  <c r="O56" i="8"/>
  <c r="AB77" i="8"/>
  <c r="W100" i="8"/>
  <c r="M100" i="8"/>
  <c r="G100" i="8"/>
  <c r="U100" i="8"/>
  <c r="E100" i="8"/>
  <c r="AA100" i="8"/>
  <c r="O100" i="8"/>
  <c r="Y100" i="8"/>
  <c r="K100" i="8"/>
  <c r="I100" i="8"/>
  <c r="S100" i="8"/>
  <c r="Q100" i="8"/>
  <c r="AB60" i="8"/>
  <c r="U70" i="8" l="1"/>
  <c r="G17" i="13"/>
  <c r="Y70" i="8"/>
  <c r="E10" i="21"/>
  <c r="F17" i="13"/>
  <c r="E17" i="13"/>
  <c r="D10" i="21"/>
  <c r="AB79" i="8"/>
  <c r="AB58" i="8"/>
  <c r="AB80" i="8"/>
  <c r="AB57" i="8"/>
  <c r="Y114" i="8"/>
  <c r="I70" i="8"/>
  <c r="W70" i="8"/>
  <c r="E70" i="8"/>
  <c r="AA92" i="8"/>
  <c r="S70" i="8"/>
  <c r="AB56" i="8"/>
  <c r="AA70" i="8"/>
  <c r="Q114" i="8"/>
  <c r="U114" i="8"/>
  <c r="M92" i="8"/>
  <c r="I114" i="8"/>
  <c r="K114" i="8"/>
  <c r="O92" i="8"/>
  <c r="O70" i="8"/>
  <c r="K92" i="8"/>
  <c r="S92" i="8"/>
  <c r="Q70" i="8"/>
  <c r="M114" i="8"/>
  <c r="AA114" i="8"/>
  <c r="I92" i="8"/>
  <c r="G70" i="8"/>
  <c r="G92" i="8"/>
  <c r="S114" i="8"/>
  <c r="Q92" i="8"/>
  <c r="W114" i="8"/>
  <c r="Y92" i="8"/>
  <c r="M70" i="8"/>
  <c r="G114" i="8"/>
  <c r="E114" i="8"/>
  <c r="AB100" i="8"/>
  <c r="W92" i="8"/>
  <c r="U92" i="8"/>
  <c r="AB78" i="8"/>
  <c r="E92" i="8"/>
  <c r="O114" i="8"/>
  <c r="K62" i="8"/>
  <c r="AB62" i="8" s="1"/>
  <c r="AB69" i="8"/>
  <c r="AB70" i="8" l="1"/>
  <c r="K70" i="8"/>
  <c r="AB92" i="8"/>
  <c r="AB114" i="8"/>
  <c r="AB39" i="9"/>
  <c r="E60" i="9"/>
  <c r="AB60" i="9" s="1"/>
  <c r="D8" i="10" l="1"/>
  <c r="C30" i="10" s="1"/>
  <c r="E5" i="9"/>
  <c r="E15" i="13" s="1"/>
  <c r="J5" i="8"/>
  <c r="E14" i="13" s="1"/>
  <c r="C11" i="21" s="1"/>
  <c r="D7" i="10"/>
  <c r="K5" i="8"/>
  <c r="F14" i="13" s="1"/>
  <c r="D11" i="21" s="1"/>
  <c r="D14" i="10"/>
  <c r="L5" i="8"/>
  <c r="G14" i="13" s="1"/>
  <c r="E11" i="21" s="1"/>
  <c r="D21" i="10"/>
  <c r="F12" i="20" l="1"/>
  <c r="F26" i="20" s="1"/>
  <c r="F12" i="17"/>
  <c r="F26" i="17" s="1"/>
  <c r="F12" i="16"/>
  <c r="F26" i="16" s="1"/>
  <c r="F12" i="15"/>
  <c r="F26" i="15" s="1"/>
  <c r="C12" i="21"/>
  <c r="E16" i="13"/>
  <c r="L18" i="13" s="1"/>
  <c r="F18" i="13" s="1"/>
  <c r="F11" i="15"/>
  <c r="F25" i="15" s="1"/>
  <c r="F27" i="15" s="1"/>
  <c r="F11" i="20"/>
  <c r="F25" i="20" s="1"/>
  <c r="F27" i="20" s="1"/>
  <c r="F11" i="17"/>
  <c r="F25" i="17" s="1"/>
  <c r="F27" i="17" s="1"/>
  <c r="F11" i="16"/>
  <c r="F25" i="16" s="1"/>
  <c r="G16" i="13"/>
  <c r="N18" i="13" s="1"/>
  <c r="H11" i="20"/>
  <c r="H25" i="20" s="1"/>
  <c r="H27" i="20" s="1"/>
  <c r="H34" i="20" s="1"/>
  <c r="H11" i="15"/>
  <c r="H25" i="15" s="1"/>
  <c r="H27" i="15" s="1"/>
  <c r="H34" i="15" s="1"/>
  <c r="H11" i="16"/>
  <c r="H25" i="16" s="1"/>
  <c r="H27" i="16" s="1"/>
  <c r="H34" i="16" s="1"/>
  <c r="H11" i="17"/>
  <c r="H25" i="17" s="1"/>
  <c r="H27" i="17" s="1"/>
  <c r="H34" i="17" s="1"/>
  <c r="F16" i="13"/>
  <c r="M18" i="13" s="1"/>
  <c r="G18" i="13" s="1"/>
  <c r="G11" i="16"/>
  <c r="G25" i="16" s="1"/>
  <c r="G27" i="16" s="1"/>
  <c r="G11" i="17"/>
  <c r="G25" i="17" s="1"/>
  <c r="G27" i="17" s="1"/>
  <c r="G11" i="15"/>
  <c r="G25" i="15" s="1"/>
  <c r="G27" i="15" s="1"/>
  <c r="G11" i="20"/>
  <c r="G25" i="20" s="1"/>
  <c r="G27" i="20" s="1"/>
  <c r="C29" i="10"/>
  <c r="D9" i="10"/>
  <c r="C31" i="10" s="1"/>
  <c r="E29" i="10"/>
  <c r="D23" i="10"/>
  <c r="E31" i="10" s="1"/>
  <c r="D29" i="10"/>
  <c r="D16" i="10"/>
  <c r="D31" i="10" s="1"/>
  <c r="F27" i="16" l="1"/>
  <c r="F34" i="16" s="1"/>
  <c r="G29" i="16" s="1"/>
  <c r="G30" i="16" s="1"/>
  <c r="G32" i="16" s="1"/>
  <c r="F19" i="13"/>
  <c r="F21" i="13" s="1"/>
  <c r="F34" i="17"/>
  <c r="G29" i="17" s="1"/>
  <c r="G30" i="17" s="1"/>
  <c r="G32" i="17" s="1"/>
  <c r="F30" i="17"/>
  <c r="F32" i="17" s="1"/>
  <c r="F34" i="15"/>
  <c r="G29" i="15" s="1"/>
  <c r="G30" i="15" s="1"/>
  <c r="G32" i="15" s="1"/>
  <c r="F30" i="15"/>
  <c r="F32" i="15" s="1"/>
  <c r="E19" i="13"/>
  <c r="E21" i="13" s="1"/>
  <c r="F34" i="20"/>
  <c r="G29" i="20" s="1"/>
  <c r="G30" i="20" s="1"/>
  <c r="G32" i="20" s="1"/>
  <c r="F30" i="20"/>
  <c r="F32" i="20" s="1"/>
  <c r="G19" i="13"/>
  <c r="G21" i="13" s="1"/>
  <c r="G34" i="20"/>
  <c r="H29" i="20" s="1"/>
  <c r="H30" i="20" s="1"/>
  <c r="H32" i="20" s="1"/>
  <c r="G34" i="16"/>
  <c r="H29" i="16" s="1"/>
  <c r="H30" i="16" s="1"/>
  <c r="H32" i="16" s="1"/>
  <c r="G34" i="17"/>
  <c r="H29" i="17" s="1"/>
  <c r="H30" i="17" s="1"/>
  <c r="H32" i="17" s="1"/>
  <c r="G34" i="15"/>
  <c r="H29" i="15" s="1"/>
  <c r="H30" i="15" s="1"/>
  <c r="H32" i="15" s="1"/>
  <c r="F30" i="16" l="1"/>
  <c r="F32" i="16" s="1"/>
  <c r="H38" i="16" s="1"/>
  <c r="J12" i="13"/>
  <c r="J11" i="13"/>
  <c r="H38" i="17"/>
  <c r="H37" i="17"/>
  <c r="H39" i="20"/>
  <c r="H38" i="20"/>
  <c r="H37" i="15"/>
  <c r="E38" i="20" s="1"/>
  <c r="H38" i="15"/>
  <c r="E39" i="20" s="1"/>
  <c r="H37"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Matias</author>
  </authors>
  <commentList>
    <comment ref="F12" authorId="0" shapeId="0" xr:uid="{00000000-0006-0000-0200-000001000000}">
      <text>
        <r>
          <rPr>
            <b/>
            <sz val="9"/>
            <color indexed="81"/>
            <rFont val="Tahoma"/>
            <charset val="1"/>
          </rPr>
          <t>Mercado al que apunta nuestro emprendimiento.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Matias</author>
  </authors>
  <commentList>
    <comment ref="C10" authorId="0" shapeId="0" xr:uid="{00000000-0006-0000-0800-000001000000}">
      <text>
        <r>
          <rPr>
            <sz val="9"/>
            <color indexed="81"/>
            <rFont val="Tahoma"/>
            <family val="2"/>
          </rPr>
          <t>https://www.argentina.gob.ar/trabajo/buscastrabajo/conocetusderechos/salario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Matias</author>
  </authors>
  <commentList>
    <comment ref="D12" authorId="0" shapeId="0" xr:uid="{00000000-0006-0000-0A00-000001000000}">
      <text>
        <r>
          <rPr>
            <b/>
            <sz val="9"/>
            <color indexed="81"/>
            <rFont val="Tahoma"/>
            <family val="2"/>
          </rPr>
          <t>Punzonadora matriz giratoria: https://articulo.mercadolibre.com.ar/MLA-852445574-punzonadora-aluminio-neumatica-pok-m9045-matriz-giratoria-_JM?matt_tool=92724942&amp;matt_word=&amp;matt_source=google&amp;matt_campaign_id=14508409196&amp;matt_ad_group_id=124055975502&amp;matt_match_type=&amp;matt_network=g&amp;matt_device=c&amp;matt_creative=543394189907&amp;matt_keyword=&amp;matt_ad_position=&amp;matt_ad_type=pla&amp;matt_merchant_id=497843241&amp;matt_product_id=MLA852445574&amp;matt_product_partition_id=1415689343751&amp;matt_target_id=aud-415044759576:pla-1415689343751&amp;gclid=CjwKCAjw8KmLBhB8EiwAQbqNoJaWVr33_oqSSamglfK8-kKkMkGtE_VkeuFESbjw4I-vPtqdfuLCDRoCjBIQAvD_BwE</t>
        </r>
        <r>
          <rPr>
            <sz val="9"/>
            <color indexed="81"/>
            <rFont val="Tahoma"/>
            <family val="2"/>
          </rPr>
          <t xml:space="preserve">
</t>
        </r>
      </text>
    </comment>
    <comment ref="D13" authorId="0" shapeId="0" xr:uid="{00000000-0006-0000-0A00-000002000000}">
      <text>
        <r>
          <rPr>
            <b/>
            <sz val="9"/>
            <color indexed="81"/>
            <rFont val="Tahoma"/>
            <family val="2"/>
          </rPr>
          <t>Fresadora: https://articulo.mercadolibre.com.ar/MLA-912566016-fresadora-perforadora-zx-7032-marca-cutmac-_JM?matt_tool=92724942&amp;matt_word=&amp;matt_source=google&amp;matt_campaign_id=14508409196&amp;matt_ad_group_id=124055975502&amp;matt_match_type=&amp;matt_network=g&amp;matt_device=c&amp;matt_creative=543394189907&amp;matt_keyword=&amp;matt_ad_position=&amp;matt_ad_type=pla&amp;matt_merchant_id=312247639&amp;matt_product_id=MLA912566016&amp;matt_product_partition_id=1415689343711&amp;matt_target_id=aud-415044759576:pla-1415689343711&amp;gclid=CjwKCAjw8KmLBhB8EiwAQbqNoFfhbgCN5b_qwSOnb2tEGTI1q9nhUAT3nUdUFRXeOeKhGE93rNy11xoCCQUQAvD_BwE</t>
        </r>
      </text>
    </comment>
    <comment ref="D14" authorId="0" shapeId="0" xr:uid="{00000000-0006-0000-0A00-000003000000}">
      <text>
        <r>
          <rPr>
            <b/>
            <sz val="9"/>
            <color indexed="81"/>
            <rFont val="Tahoma"/>
            <family val="2"/>
          </rPr>
          <t>CNC METALES: https://articulo.mercadolibre.com.ar/MLA-813985759-router-cnc-50x50-metales-no-ferrososindustrial-_JM?matt_tool=92724942&amp;matt_word=&amp;matt_source=google&amp;matt_campaign_id=14508409196&amp;matt_ad_group_id=124055975502&amp;matt_match_type=&amp;matt_network=g&amp;matt_device=c&amp;matt_creative=543394189907&amp;matt_keyword=&amp;matt_ad_position=&amp;matt_ad_type=pla&amp;matt_merchant_id=241053089&amp;matt_product_id=MLA813985759&amp;matt_product_partition_id=1416137266275&amp;matt_target_id=aud-415044759576:pla-1416137266275&amp;gclid=CjwKCAjw8KmLBhB8EiwAQbqNoMDHTsccbNtF9mI7raEhwXmljZU5a_BkLjqAH0Ww7UzAPvhNI_821xoCfDIQAvD_BwE</t>
        </r>
        <r>
          <rPr>
            <sz val="9"/>
            <color indexed="81"/>
            <rFont val="Tahoma"/>
            <family val="2"/>
          </rPr>
          <t xml:space="preserve">
</t>
        </r>
      </text>
    </comment>
    <comment ref="D15" authorId="0" shapeId="0" xr:uid="{00000000-0006-0000-0A00-000004000000}">
      <text>
        <r>
          <rPr>
            <b/>
            <sz val="9"/>
            <color indexed="81"/>
            <rFont val="Tahoma"/>
            <family val="2"/>
          </rPr>
          <t>TORNO PARALELO:
https://articulo.mercadolibre.com.ar/MLA-803463981-torno-paralelo-tr-cy-6266l-x-2000-cutmac-_JM?matt_tool=62476992&amp;matt_word=&amp;matt_source=google&amp;matt_campaign_id=14508409193&amp;matt_ad_group_id=124055975422&amp;matt_match_type=&amp;matt_network=g&amp;matt_device=c&amp;matt_creative=543394189904&amp;matt_keyword=&amp;matt_ad_position=&amp;matt_ad_type=pla&amp;matt_merchant_id=312247639&amp;matt_product_id=MLA803463981&amp;matt_product_partition_id=1403869200174&amp;matt_target_id=aud-415044759576:pla-1403869200174&amp;gclid=CjwKCAjw8KmLBhB8EiwAQbqNoOmfE5EEw2oUNla7tzb6rzGTqrIwSPpM-D_K0i94o3kIQsNldyy35xoCt3oQAvD_BwE</t>
        </r>
        <r>
          <rPr>
            <sz val="9"/>
            <color indexed="81"/>
            <rFont val="Tahoma"/>
            <family val="2"/>
          </rPr>
          <t xml:space="preserve">
</t>
        </r>
      </text>
    </comment>
    <comment ref="D16" authorId="0" shapeId="0" xr:uid="{00000000-0006-0000-0A00-000005000000}">
      <text>
        <r>
          <rPr>
            <b/>
            <sz val="9"/>
            <color indexed="81"/>
            <rFont val="Tahoma"/>
            <family val="2"/>
          </rPr>
          <t>Trifasica (sistema electrico): https://articulo.mercadolibre.com.ar/MLA-876846200-tablero-electrico-exterior-trifasico-tomas-32a-obra-industr-_JM?matt_tool=14065579&amp;matt_word=&amp;matt_source=google&amp;matt_campaign_id=14508409190&amp;matt_ad_group_id=124055975182&amp;matt_match_type=&amp;matt_network=g&amp;matt_device=c&amp;matt_creative=543394189895&amp;matt_keyword=&amp;matt_ad_position=&amp;matt_ad_type=pla&amp;matt_merchant_id=446871170&amp;matt_product_id=MLA876846200&amp;matt_product_partition_id=1427499882714&amp;matt_target_id=aud-415044759576:pla-1427499882714&amp;gclid=CjwKCAjw8KmLBhB8EiwAQbqNoPXOPGmIQWAhWOfZzPTSdSalm_4XhF5QNOP066oH5I74-cvVvjJDlBoCTTEQAvD_BwE</t>
        </r>
      </text>
    </comment>
    <comment ref="D23" authorId="0" shapeId="0" xr:uid="{00000000-0006-0000-0A00-000006000000}">
      <text>
        <r>
          <rPr>
            <b/>
            <sz val="9"/>
            <color indexed="81"/>
            <rFont val="Tahoma"/>
            <family val="2"/>
          </rPr>
          <t>Camionetas: https://auto.mercadolibre.com.ar/MLA-1103820989-mercedes-benz-vito-2021-16-111-cdi-furgon-mixto-aa-114cv-_JM#position=8&amp;search_layout=grid&amp;type=item&amp;tracking_id=b9479013-223d-4c19-b9d9-73289bd4af84</t>
        </r>
      </text>
    </comment>
    <comment ref="D25" authorId="0" shapeId="0" xr:uid="{00000000-0006-0000-0A00-000007000000}">
      <text>
        <r>
          <rPr>
            <b/>
            <sz val="9"/>
            <color indexed="81"/>
            <rFont val="Tahoma"/>
            <family val="2"/>
          </rPr>
          <t>Mesas de oficina: https://articulo.mercadolibre.com.ar/MLA-812152480-mesa-de-reuniones-segun-diseno-ote-muebles-_JM?searchVariation=42731106529#searchVariation=42731106529&amp;position=6&amp;search_layout=stack&amp;type=item&amp;tracking_id=7ba66639-0983-449f-b762-7f991eb5b4e0</t>
        </r>
      </text>
    </comment>
    <comment ref="D26" authorId="0" shapeId="0" xr:uid="{00000000-0006-0000-0A00-000008000000}">
      <text>
        <r>
          <rPr>
            <b/>
            <sz val="9"/>
            <color indexed="81"/>
            <rFont val="Tahoma"/>
            <family val="2"/>
          </rPr>
          <t>Sillas de oficina: https://articulo.mercadolibre.com.ar/MLA-620710849-silla-de-oficina-apilable-de-cano-con-tapa-plastica-_JM?matt_tool=64869477&amp;matt_word=&amp;matt_source=google&amp;matt_campaign_id=14508409187&amp;matt_ad_group_id=124055974982&amp;matt_match_type=&amp;matt_network=g&amp;matt_device=c&amp;matt_creative=543394189892&amp;matt_keyword=&amp;matt_ad_position=&amp;matt_ad_type=pla&amp;matt_merchant_id=204872289&amp;matt_product_id=MLA620710849&amp;matt_product_partition_id=1403299324466&amp;matt_target_id=aud-415044759576:pla-1403299324466&amp;gclid=CjwKCAjw8KmLBhB8EiwAQbqNoLPBTzPAK4n8T9x2a67tr4wF-YUQR4lmRQhkiLfzshZFhLhAPxGhcRoCQroQAvD_BwE</t>
        </r>
        <r>
          <rPr>
            <sz val="9"/>
            <color indexed="81"/>
            <rFont val="Tahoma"/>
            <family val="2"/>
          </rPr>
          <t xml:space="preserve">
</t>
        </r>
      </text>
    </comment>
    <comment ref="D27" authorId="0" shapeId="0" xr:uid="{00000000-0006-0000-0A00-000009000000}">
      <text>
        <r>
          <rPr>
            <b/>
            <sz val="9"/>
            <color indexed="81"/>
            <rFont val="Tahoma"/>
            <family val="2"/>
          </rPr>
          <t>Clark</t>
        </r>
        <r>
          <rPr>
            <sz val="9"/>
            <color indexed="81"/>
            <rFont val="Tahoma"/>
            <family val="2"/>
          </rPr>
          <t>: https://vehiculo.mercadolibre.com.ar/MLA-1103209824-autoelevador-clark-25-tn-tt-con-desplazador-_JM#position=2&amp;search_layout=grid&amp;type=item&amp;tracking_id=e59c3398-d31f-4ae9-9caf-d1e0fde0faa3</t>
        </r>
      </text>
    </comment>
    <comment ref="D39" authorId="0" shapeId="0" xr:uid="{00000000-0006-0000-0A00-00000A000000}">
      <text>
        <r>
          <rPr>
            <b/>
            <sz val="9"/>
            <color indexed="81"/>
            <rFont val="Tahoma"/>
            <family val="2"/>
          </rPr>
          <t>Camionetas: https://auto.mercadolibre.com.ar/MLA-1103820989-mercedes-benz-vito-2021-16-111-cdi-furgon-mixto-aa-114cv-_JM#position=8&amp;search_layout=grid&amp;type=item&amp;tracking_id=b9479013-223d-4c19-b9d9-73289bd4af84</t>
        </r>
      </text>
    </comment>
    <comment ref="D41" authorId="0" shapeId="0" xr:uid="{00000000-0006-0000-0A00-00000B000000}">
      <text>
        <r>
          <rPr>
            <b/>
            <sz val="9"/>
            <color indexed="81"/>
            <rFont val="Tahoma"/>
            <family val="2"/>
          </rPr>
          <t>Mesas de oficina: https://articulo.mercadolibre.com.ar/MLA-812152480-mesa-de-reuniones-segun-diseno-ote-muebles-_JM?searchVariation=42731106529#searchVariation=42731106529&amp;position=6&amp;search_layout=stack&amp;type=item&amp;tracking_id=7ba66639-0983-449f-b762-7f991eb5b4e0</t>
        </r>
      </text>
    </comment>
    <comment ref="D42" authorId="0" shapeId="0" xr:uid="{00000000-0006-0000-0A00-00000C000000}">
      <text>
        <r>
          <rPr>
            <b/>
            <sz val="9"/>
            <color indexed="81"/>
            <rFont val="Tahoma"/>
            <family val="2"/>
          </rPr>
          <t>Sillas de oficina: https://articulo.mercadolibre.com.ar/MLA-620710849-silla-de-oficina-apilable-de-cano-con-tapa-plastica-_JM?matt_tool=64869477&amp;matt_word=&amp;matt_source=google&amp;matt_campaign_id=14508409187&amp;matt_ad_group_id=124055974982&amp;matt_match_type=&amp;matt_network=g&amp;matt_device=c&amp;matt_creative=543394189892&amp;matt_keyword=&amp;matt_ad_position=&amp;matt_ad_type=pla&amp;matt_merchant_id=204872289&amp;matt_product_id=MLA620710849&amp;matt_product_partition_id=1403299324466&amp;matt_target_id=aud-415044759576:pla-1403299324466&amp;gclid=CjwKCAjw8KmLBhB8EiwAQbqNoLPBTzPAK4n8T9x2a67tr4wF-YUQR4lmRQhkiLfzshZFhLhAPxGhcRoCQroQAvD_BwE</t>
        </r>
        <r>
          <rPr>
            <sz val="9"/>
            <color indexed="81"/>
            <rFont val="Tahoma"/>
            <family val="2"/>
          </rPr>
          <t xml:space="preserve">
</t>
        </r>
      </text>
    </comment>
    <comment ref="D43" authorId="0" shapeId="0" xr:uid="{00000000-0006-0000-0A00-00000D000000}">
      <text>
        <r>
          <rPr>
            <b/>
            <sz val="9"/>
            <color indexed="81"/>
            <rFont val="Tahoma"/>
            <family val="2"/>
          </rPr>
          <t>Clark</t>
        </r>
        <r>
          <rPr>
            <sz val="9"/>
            <color indexed="81"/>
            <rFont val="Tahoma"/>
            <family val="2"/>
          </rPr>
          <t>: https://vehiculo.mercadolibre.com.ar/MLA-1103209824-autoelevador-clark-25-tn-tt-con-desplazador-_JM#position=2&amp;search_layout=grid&amp;type=item&amp;tracking_id=e59c3398-d31f-4ae9-9caf-d1e0fde0faa3</t>
        </r>
      </text>
    </comment>
    <comment ref="D55" authorId="0" shapeId="0" xr:uid="{00000000-0006-0000-0A00-00000E000000}">
      <text>
        <r>
          <rPr>
            <b/>
            <sz val="9"/>
            <color indexed="81"/>
            <rFont val="Tahoma"/>
            <family val="2"/>
          </rPr>
          <t>Camionetas: https://auto.mercadolibre.com.ar/MLA-1103820989-mercedes-benz-vito-2021-16-111-cdi-furgon-mixto-aa-114cv-_JM#position=8&amp;search_layout=grid&amp;type=item&amp;tracking_id=b9479013-223d-4c19-b9d9-73289bd4af84</t>
        </r>
      </text>
    </comment>
    <comment ref="D57" authorId="0" shapeId="0" xr:uid="{00000000-0006-0000-0A00-00000F000000}">
      <text>
        <r>
          <rPr>
            <b/>
            <sz val="9"/>
            <color indexed="81"/>
            <rFont val="Tahoma"/>
            <family val="2"/>
          </rPr>
          <t>Mesas de oficina: https://articulo.mercadolibre.com.ar/MLA-812152480-mesa-de-reuniones-segun-diseno-ote-muebles-_JM?searchVariation=42731106529#searchVariation=42731106529&amp;position=6&amp;search_layout=stack&amp;type=item&amp;tracking_id=7ba66639-0983-449f-b762-7f991eb5b4e0</t>
        </r>
      </text>
    </comment>
    <comment ref="D58" authorId="0" shapeId="0" xr:uid="{00000000-0006-0000-0A00-000010000000}">
      <text>
        <r>
          <rPr>
            <b/>
            <sz val="9"/>
            <color indexed="81"/>
            <rFont val="Tahoma"/>
            <family val="2"/>
          </rPr>
          <t>Sillas de oficina: https://articulo.mercadolibre.com.ar/MLA-620710849-silla-de-oficina-apilable-de-cano-con-tapa-plastica-_JM?matt_tool=64869477&amp;matt_word=&amp;matt_source=google&amp;matt_campaign_id=14508409187&amp;matt_ad_group_id=124055974982&amp;matt_match_type=&amp;matt_network=g&amp;matt_device=c&amp;matt_creative=543394189892&amp;matt_keyword=&amp;matt_ad_position=&amp;matt_ad_type=pla&amp;matt_merchant_id=204872289&amp;matt_product_id=MLA620710849&amp;matt_product_partition_id=1403299324466&amp;matt_target_id=aud-415044759576:pla-1403299324466&amp;gclid=CjwKCAjw8KmLBhB8EiwAQbqNoLPBTzPAK4n8T9x2a67tr4wF-YUQR4lmRQhkiLfzshZFhLhAPxGhcRoCQroQAvD_BwE</t>
        </r>
        <r>
          <rPr>
            <sz val="9"/>
            <color indexed="81"/>
            <rFont val="Tahoma"/>
            <family val="2"/>
          </rPr>
          <t xml:space="preserve">
</t>
        </r>
      </text>
    </comment>
    <comment ref="D59" authorId="0" shapeId="0" xr:uid="{00000000-0006-0000-0A00-000011000000}">
      <text>
        <r>
          <rPr>
            <b/>
            <sz val="9"/>
            <color indexed="81"/>
            <rFont val="Tahoma"/>
            <family val="2"/>
          </rPr>
          <t>Clark</t>
        </r>
        <r>
          <rPr>
            <sz val="9"/>
            <color indexed="81"/>
            <rFont val="Tahoma"/>
            <family val="2"/>
          </rPr>
          <t>: https://vehiculo.mercadolibre.com.ar/MLA-1103209824-autoelevador-clark-25-tn-tt-con-desplazador-_JM#position=2&amp;search_layout=grid&amp;type=item&amp;tracking_id=e59c3398-d31f-4ae9-9caf-d1e0fde0faa3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Matias</author>
  </authors>
  <commentList>
    <comment ref="F11" authorId="0" shapeId="0" xr:uid="{00000000-0006-0000-0B00-000001000000}">
      <text>
        <r>
          <rPr>
            <b/>
            <sz val="9"/>
            <color indexed="81"/>
            <rFont val="Tahoma"/>
            <family val="2"/>
          </rPr>
          <t>Depreciación de los bienes:</t>
        </r>
        <r>
          <rPr>
            <sz val="9"/>
            <color indexed="81"/>
            <rFont val="Tahoma"/>
            <family val="2"/>
          </rPr>
          <t xml:space="preserve">
http://contenidosdigitales.ulp.edu.ar/exe/sistemadeinfo_cont/la_depreciacin_de_los_bienes_de_uso.html</t>
        </r>
      </text>
    </comment>
  </commentList>
</comments>
</file>

<file path=xl/sharedStrings.xml><?xml version="1.0" encoding="utf-8"?>
<sst xmlns="http://schemas.openxmlformats.org/spreadsheetml/2006/main" count="3336" uniqueCount="471">
  <si>
    <t>Profesor: Jorge Scali</t>
  </si>
  <si>
    <t>Turno: Noche</t>
  </si>
  <si>
    <t>Sede: Lomas de Zamora</t>
  </si>
  <si>
    <t>Presupuesto financiero - índice</t>
  </si>
  <si>
    <t>1 - Descripción del negocio</t>
  </si>
  <si>
    <t>Total mercado</t>
  </si>
  <si>
    <t>3 - Participación del mercado</t>
  </si>
  <si>
    <t>Año</t>
  </si>
  <si>
    <t>Porcentaje</t>
  </si>
  <si>
    <t>Total</t>
  </si>
  <si>
    <t>Producto</t>
  </si>
  <si>
    <t>Precio</t>
  </si>
  <si>
    <t>2 - Mercado meta</t>
  </si>
  <si>
    <t>Valor del mercado general</t>
  </si>
  <si>
    <t>Clientes promedios</t>
  </si>
  <si>
    <t>Evolución de la participación en el mercado.</t>
  </si>
  <si>
    <t>Ingresos pronosticados</t>
  </si>
  <si>
    <t>% mercado meta</t>
  </si>
  <si>
    <t>% ingresos</t>
  </si>
  <si>
    <t>Ingresos hasta 2014</t>
  </si>
  <si>
    <t>Líneas</t>
  </si>
  <si>
    <t xml:space="preserve">Liviana </t>
  </si>
  <si>
    <t>Exclusiva</t>
  </si>
  <si>
    <t>Profundidad de Productos</t>
  </si>
  <si>
    <t>4 - Datos informativos</t>
  </si>
  <si>
    <t>Modelo de egresos - Costos variables</t>
  </si>
  <si>
    <t xml:space="preserve">Total de costos variables </t>
  </si>
  <si>
    <t>Concepto</t>
  </si>
  <si>
    <t>Enero</t>
  </si>
  <si>
    <t>Febrero</t>
  </si>
  <si>
    <t>Marzo</t>
  </si>
  <si>
    <t>Abril</t>
  </si>
  <si>
    <t>Mayo</t>
  </si>
  <si>
    <t>Junio</t>
  </si>
  <si>
    <t>Julio</t>
  </si>
  <si>
    <t>Agosto</t>
  </si>
  <si>
    <t>Septiembre</t>
  </si>
  <si>
    <t>Octubre</t>
  </si>
  <si>
    <t>Noviembre</t>
  </si>
  <si>
    <t>Diciembre</t>
  </si>
  <si>
    <t>Descripción</t>
  </si>
  <si>
    <t>Costo unitario</t>
  </si>
  <si>
    <t>Cantidad</t>
  </si>
  <si>
    <t>Costo</t>
  </si>
  <si>
    <t>TOTAL</t>
  </si>
  <si>
    <t>Producción</t>
  </si>
  <si>
    <t>Administración</t>
  </si>
  <si>
    <t>Tecnología</t>
  </si>
  <si>
    <t>Marketing</t>
  </si>
  <si>
    <t>Comercial</t>
  </si>
  <si>
    <t>Logística</t>
  </si>
  <si>
    <t>Cursos de capacitación</t>
  </si>
  <si>
    <t>Impuestos especificos</t>
  </si>
  <si>
    <t>Gastos varios</t>
  </si>
  <si>
    <t>Envases y embalajes</t>
  </si>
  <si>
    <t xml:space="preserve">Recursos energéticos </t>
  </si>
  <si>
    <r>
      <rPr>
        <b/>
        <u/>
        <sz val="11"/>
        <color theme="1"/>
        <rFont val="Calibri"/>
        <family val="2"/>
        <scheme val="minor"/>
      </rPr>
      <t>Actualización tecnologíca en la sociedad:</t>
    </r>
    <r>
      <rPr>
        <b/>
        <sz val="11"/>
        <color theme="1"/>
        <rFont val="Calibri"/>
        <family val="2"/>
        <scheme val="minor"/>
      </rPr>
      <t xml:space="preserve"> </t>
    </r>
    <r>
      <rPr>
        <sz val="11"/>
        <color theme="1"/>
        <rFont val="Calibri"/>
        <family val="2"/>
        <scheme val="minor"/>
      </rPr>
      <t xml:space="preserve">viene aparejado del crecimiento tecnólogico que sufre el mundo y que impacta en la sociedad, esto nos lleva a generar un crecimiento de las ventas y desarrollar el negocio en estos años proyectados. Ademas la inseguridad es un punto que juega a favor de la venta de este producto innovador. </t>
    </r>
  </si>
  <si>
    <t>Anual</t>
  </si>
  <si>
    <t>Ingresos</t>
  </si>
  <si>
    <t>Ingreso Total</t>
  </si>
  <si>
    <t>Liviana</t>
  </si>
  <si>
    <t>Cálculo de costo unitario de producción</t>
  </si>
  <si>
    <t>Subtotal</t>
  </si>
  <si>
    <t>Gasto a proveedor</t>
  </si>
  <si>
    <t>Estanterias nuevas</t>
  </si>
  <si>
    <t>Mantenimiento de clark</t>
  </si>
  <si>
    <t>Departamentos</t>
  </si>
  <si>
    <t>Ingresos por productos</t>
  </si>
  <si>
    <t>TOTALES</t>
  </si>
  <si>
    <t>Ingresos 2022</t>
  </si>
  <si>
    <t>Proyección de ventas 2022</t>
  </si>
  <si>
    <t xml:space="preserve">Modelo de egresos - Costos fijos </t>
  </si>
  <si>
    <t>Agua</t>
  </si>
  <si>
    <t>Luz</t>
  </si>
  <si>
    <t>Internet</t>
  </si>
  <si>
    <t>Publicidad</t>
  </si>
  <si>
    <t>Alquiler de oficina y deposito</t>
  </si>
  <si>
    <t>Impuestos inmobiliarios</t>
  </si>
  <si>
    <t>Gas</t>
  </si>
  <si>
    <t>Impuestos municipales</t>
  </si>
  <si>
    <t>Gestión contable y administrativa</t>
  </si>
  <si>
    <t>Gestión legal</t>
  </si>
  <si>
    <t>Seguros</t>
  </si>
  <si>
    <t>Materiales de oficina</t>
  </si>
  <si>
    <t>Mano de obra indirecta</t>
  </si>
  <si>
    <t>Transporte</t>
  </si>
  <si>
    <t xml:space="preserve">Tributo </t>
  </si>
  <si>
    <t>Teléfono</t>
  </si>
  <si>
    <t>Año 2021</t>
  </si>
  <si>
    <t>Año 2022</t>
  </si>
  <si>
    <t>Mantenimiento de hardware</t>
  </si>
  <si>
    <t>Mantenimiento de software</t>
  </si>
  <si>
    <t>Costos de distribución</t>
  </si>
  <si>
    <t>Proveedores externos</t>
  </si>
  <si>
    <t>Armado</t>
  </si>
  <si>
    <t>Premio sobre crecimiento por publicidad</t>
  </si>
  <si>
    <t>Costos variables - Año 2021</t>
  </si>
  <si>
    <t>Costos variables - Año 2022</t>
  </si>
  <si>
    <t>RRHH</t>
  </si>
  <si>
    <t>Sin cambios</t>
  </si>
  <si>
    <t>Instalaciones</t>
  </si>
  <si>
    <t>Observaciones</t>
  </si>
  <si>
    <t>Infraestructura y maquinaria</t>
  </si>
  <si>
    <t>Capacidad operativa inicial</t>
  </si>
  <si>
    <t xml:space="preserve">Inicio </t>
  </si>
  <si>
    <t>Gerente General</t>
  </si>
  <si>
    <t>Gerente de administración</t>
  </si>
  <si>
    <t>Gerente de Comercialización</t>
  </si>
  <si>
    <t>Jefe de sistemas</t>
  </si>
  <si>
    <t>Deposito</t>
  </si>
  <si>
    <t xml:space="preserve">Sistema de gas </t>
  </si>
  <si>
    <t>Trifasica (sistema electrico)</t>
  </si>
  <si>
    <t>Año uno</t>
  </si>
  <si>
    <t>sin cambios</t>
  </si>
  <si>
    <t>Jefe de compras</t>
  </si>
  <si>
    <t>(+) 1 jefe de compras</t>
  </si>
  <si>
    <t>(+)asistente de compras</t>
  </si>
  <si>
    <t>(+) encargado de ventas</t>
  </si>
  <si>
    <t>(+) asistente de ventas</t>
  </si>
  <si>
    <t>(+) 1 Encargado de cobranzas y pagos (asistente contable)</t>
  </si>
  <si>
    <t>(+) 1 Jefe de contabilidad</t>
  </si>
  <si>
    <t>(+) 1 asistente administrativo</t>
  </si>
  <si>
    <t>(+) 1 Jefe de marketing</t>
  </si>
  <si>
    <t>(+) 1 empleado de marketing</t>
  </si>
  <si>
    <t>(+) 1 supervisor</t>
  </si>
  <si>
    <t>(+) 1 jefe de logistica</t>
  </si>
  <si>
    <t>(+) 1 encargado de RRHH</t>
  </si>
  <si>
    <t>Incorporación asistente de compras</t>
  </si>
  <si>
    <t>Incorporación Jefe de compras</t>
  </si>
  <si>
    <t>Incorporación encargado de ventas</t>
  </si>
  <si>
    <t>Incorporación asistente de ventas</t>
  </si>
  <si>
    <t>Incorporación asistente contable</t>
  </si>
  <si>
    <t>Incorporación jefe de contabilidad</t>
  </si>
  <si>
    <t>Incorporación asistente administrativo</t>
  </si>
  <si>
    <t>Incorporación Jefe de marketing</t>
  </si>
  <si>
    <t>Incorporación empleado de marketing</t>
  </si>
  <si>
    <t>Incorporación supervisor</t>
  </si>
  <si>
    <t>Incorporación jefe de logistica</t>
  </si>
  <si>
    <t>Incorporación de encargado de RRHH</t>
  </si>
  <si>
    <t>(+) 3 mesas</t>
  </si>
  <si>
    <t>Instalación de oficina 2do piso</t>
  </si>
  <si>
    <t>(+) 1  instalación de oficina</t>
  </si>
  <si>
    <t>asistente de compras</t>
  </si>
  <si>
    <t>encargado de ventas</t>
  </si>
  <si>
    <t>asistente de ventas</t>
  </si>
  <si>
    <t>asistente contable</t>
  </si>
  <si>
    <t>jefe de contabilidad</t>
  </si>
  <si>
    <t>asistente administrativo</t>
  </si>
  <si>
    <t>Jefe de marketing</t>
  </si>
  <si>
    <t>empleado de marketing</t>
  </si>
  <si>
    <t>Jefe de planta</t>
  </si>
  <si>
    <t>jefe de logistica</t>
  </si>
  <si>
    <t>supervisor</t>
  </si>
  <si>
    <t>encargado de RRHH</t>
  </si>
  <si>
    <t>(+) 2 asistente de ventas</t>
  </si>
  <si>
    <t>(+) 2 asistente de compras</t>
  </si>
  <si>
    <t>(+) 2 empleado de marketing</t>
  </si>
  <si>
    <t>Incorporación asistente logistica</t>
  </si>
  <si>
    <t>(+) 1 asistente logistica</t>
  </si>
  <si>
    <t>Capacidad operativa 2022</t>
  </si>
  <si>
    <t>asistente logistica</t>
  </si>
  <si>
    <t>Incorporación operarios</t>
  </si>
  <si>
    <t>Incorporación Senior sistemas</t>
  </si>
  <si>
    <t>Incorporación Soporte</t>
  </si>
  <si>
    <t>(+) 2 senior sistemas</t>
  </si>
  <si>
    <t>(+) 2 Soporte</t>
  </si>
  <si>
    <t>Cálculo de horas laborables de un empleado por mes</t>
  </si>
  <si>
    <t>Semanas por año</t>
  </si>
  <si>
    <t>semanas</t>
  </si>
  <si>
    <t>Semanas de licencias varias al año</t>
  </si>
  <si>
    <t>Días festivos</t>
  </si>
  <si>
    <t>días</t>
  </si>
  <si>
    <t>Días laborales totales</t>
  </si>
  <si>
    <t>Jornada laboral</t>
  </si>
  <si>
    <t>horas</t>
  </si>
  <si>
    <t>Horas laborables anuales por empleado</t>
  </si>
  <si>
    <t>Consideraremos en promedio:</t>
  </si>
  <si>
    <t>Horas laborables anuales / empleado</t>
  </si>
  <si>
    <t>Horas laborables mensuales / empleado
[HsLaboralesXMes]</t>
  </si>
  <si>
    <t>N° de tarea</t>
  </si>
  <si>
    <t>Base horaria [BH]</t>
  </si>
  <si>
    <t>Cantidad requerida por producto
[CantXProducto]</t>
  </si>
  <si>
    <r>
      <t xml:space="preserve">Horas por tarea de producto
</t>
    </r>
    <r>
      <rPr>
        <sz val="11"/>
        <color theme="1"/>
        <rFont val="Calibri"/>
        <family val="2"/>
        <scheme val="minor"/>
      </rPr>
      <t>Fórmula = CantXProducto / BH</t>
    </r>
  </si>
  <si>
    <r>
      <t>Horas totales por producto
[HsTotalesXProducto]</t>
    </r>
    <r>
      <rPr>
        <sz val="11"/>
        <color theme="1"/>
        <rFont val="Calibri"/>
        <family val="2"/>
        <scheme val="minor"/>
      </rPr>
      <t xml:space="preserve">
Fórmula = Σ Horas por tarea de producto</t>
    </r>
  </si>
  <si>
    <r>
      <t xml:space="preserve">Capacidad operativa mensual por empleado
</t>
    </r>
    <r>
      <rPr>
        <sz val="11"/>
        <color theme="1"/>
        <rFont val="Calibri"/>
        <family val="2"/>
        <scheme val="minor"/>
      </rPr>
      <t>Fórmula = HsLaboralesXMes / HsTotalesXProd</t>
    </r>
  </si>
  <si>
    <t>ANALISIS CAPACIDAD OPERATIVA ANUAL POR PRODUCTO EN HORAS HOMBRE</t>
  </si>
  <si>
    <t>Unidades requeridas</t>
  </si>
  <si>
    <t>Horas Hombre requeridas</t>
  </si>
  <si>
    <t>Horas Hombre requeridos</t>
  </si>
  <si>
    <t>Cantidad total</t>
  </si>
  <si>
    <t>Corte de materiales</t>
  </si>
  <si>
    <t>Ensamblado de producto</t>
  </si>
  <si>
    <t>darle forma a las piezas</t>
  </si>
  <si>
    <t>Baños de piezas</t>
  </si>
  <si>
    <t>CAPACIDAD OPERATIVA AÑO 2022</t>
  </si>
  <si>
    <r>
      <t>El objetivo estratégico de nuestro emprendimiento es el de alcanzar el 10</t>
    </r>
    <r>
      <rPr>
        <b/>
        <sz val="12"/>
        <color theme="1"/>
        <rFont val="Calibri"/>
        <family val="2"/>
        <scheme val="minor"/>
      </rPr>
      <t>%</t>
    </r>
    <r>
      <rPr>
        <sz val="12"/>
        <color theme="1"/>
        <rFont val="Calibri"/>
        <family val="2"/>
        <scheme val="minor"/>
      </rPr>
      <t xml:space="preserve"> de penetración del mercado meta </t>
    </r>
    <r>
      <rPr>
        <b/>
        <sz val="12"/>
        <color theme="1"/>
        <rFont val="Calibri"/>
        <family val="2"/>
        <scheme val="minor"/>
      </rPr>
      <t>en un horizonte temporal de 3 años.</t>
    </r>
    <r>
      <rPr>
        <sz val="12"/>
        <color theme="1"/>
        <rFont val="Calibri"/>
        <family val="2"/>
        <scheme val="minor"/>
      </rPr>
      <t xml:space="preserve">
</t>
    </r>
  </si>
  <si>
    <t>Proyección de ventas 2023</t>
  </si>
  <si>
    <t>Capacidad operativa 2023</t>
  </si>
  <si>
    <t>Año 2023</t>
  </si>
  <si>
    <t>Ingreso Total (suma del total ingresado por mes)</t>
  </si>
  <si>
    <t>Infraestructura, rodado y maquinaria</t>
  </si>
  <si>
    <t>Posibilidad de mercado</t>
  </si>
  <si>
    <t>Asignatura: Trabajo final de ingeniería - Negocio</t>
  </si>
  <si>
    <t>Se toma en cuenta que la gestión contable y de legales es un servicio terciarizado.</t>
  </si>
  <si>
    <t xml:space="preserve">Se toma en cuenta que la gestión contable y de legales es un servicio terciarizado.
</t>
  </si>
  <si>
    <t>Ingresos 2023</t>
  </si>
  <si>
    <t>CAPACIDAD OPERATIVA AÑO 2023</t>
  </si>
  <si>
    <t>MODELO: Liviana</t>
  </si>
  <si>
    <t>diseño de piezas del producto en maquina</t>
  </si>
  <si>
    <t>Modelo: Liviana</t>
  </si>
  <si>
    <t>Unidades producidas para el año 2022</t>
  </si>
  <si>
    <t>Unidades producidas para el año 2023</t>
  </si>
  <si>
    <t>Costos variables - Año 2023</t>
  </si>
  <si>
    <t xml:space="preserve">Producción de </t>
  </si>
  <si>
    <t>Camionetas</t>
  </si>
  <si>
    <t>(+) 4 camionetas</t>
  </si>
  <si>
    <t>Gastos costos variables planilla de mantenimientos</t>
  </si>
  <si>
    <t>Cálculo de costo variables por insumos productivos</t>
  </si>
  <si>
    <t>Tornillos, Tuercas, Visagras</t>
  </si>
  <si>
    <t>Insumos directos para la maquinaria de los baños de pieza</t>
  </si>
  <si>
    <t xml:space="preserve">Mantenimiento de maquinarias CNC y FREZADORA </t>
  </si>
  <si>
    <t>Materia prima directa: chapa y metal en toneladas</t>
  </si>
  <si>
    <t xml:space="preserve">Mantenimiento de maquinarias TORNO, CNC y FREZADORA </t>
  </si>
  <si>
    <t>Modelo de egresos - Costos RRHH</t>
  </si>
  <si>
    <t>Desglose de Haberes</t>
  </si>
  <si>
    <t>Puesto</t>
  </si>
  <si>
    <t>S.I.J.P.
Sist Integ. 
de Jub. y Pen.</t>
  </si>
  <si>
    <t>Aporte Jubilatorio</t>
  </si>
  <si>
    <t>Obra Social</t>
  </si>
  <si>
    <t xml:space="preserve">Fondo Nacional de empleo </t>
  </si>
  <si>
    <t>Seguro de vida</t>
  </si>
  <si>
    <t>ART</t>
  </si>
  <si>
    <t>Junio + SAC</t>
  </si>
  <si>
    <t>Diciembre + SAC</t>
  </si>
  <si>
    <t>Total anual</t>
  </si>
  <si>
    <t>Totales</t>
  </si>
  <si>
    <t>Costos de RRHH - Año 2021</t>
  </si>
  <si>
    <t>2do año</t>
  </si>
  <si>
    <t>1er año</t>
  </si>
  <si>
    <t>3er año</t>
  </si>
  <si>
    <t>Senior sistemas</t>
  </si>
  <si>
    <t>Soporte</t>
  </si>
  <si>
    <t>operarios</t>
  </si>
  <si>
    <t>Sindicato</t>
  </si>
  <si>
    <t>operario</t>
  </si>
  <si>
    <t xml:space="preserve"> Total Costos RRHH</t>
  </si>
  <si>
    <t>Costos de RRHH - Año 2022</t>
  </si>
  <si>
    <t>Costos de RRHH - Año 2023</t>
  </si>
  <si>
    <t>Operarios</t>
  </si>
  <si>
    <t>1er Año</t>
  </si>
  <si>
    <t>2do Año</t>
  </si>
  <si>
    <t>3er Año</t>
  </si>
  <si>
    <t>Costos Fijos</t>
  </si>
  <si>
    <t>Costos Variables</t>
  </si>
  <si>
    <t>Costos RRHH</t>
  </si>
  <si>
    <t>Costos fijos</t>
  </si>
  <si>
    <t xml:space="preserve">Modelo de egresos </t>
  </si>
  <si>
    <t>Costos variables</t>
  </si>
  <si>
    <t>Total Anual</t>
  </si>
  <si>
    <t xml:space="preserve">Total </t>
  </si>
  <si>
    <t>Modelo de inversión</t>
  </si>
  <si>
    <t>Modelo de Inversión</t>
  </si>
  <si>
    <t>Inversión inicial - Año cero</t>
  </si>
  <si>
    <t>Precio unitario</t>
  </si>
  <si>
    <t>Referencia</t>
  </si>
  <si>
    <t>-</t>
  </si>
  <si>
    <t>Inversión - Año 2021</t>
  </si>
  <si>
    <t>Amortizaciones</t>
  </si>
  <si>
    <t>Rubro</t>
  </si>
  <si>
    <t>Amortización
( en años )</t>
  </si>
  <si>
    <t>Valor de adquisiciones</t>
  </si>
  <si>
    <t>Amortización</t>
  </si>
  <si>
    <t>Año cero</t>
  </si>
  <si>
    <t>Vehículos</t>
  </si>
  <si>
    <t>Informática y comunicaciones</t>
  </si>
  <si>
    <t>Muebles de oficina</t>
  </si>
  <si>
    <t>Presupuesto financiero</t>
  </si>
  <si>
    <t>Ejercicio</t>
  </si>
  <si>
    <t>Costos de RRHH</t>
  </si>
  <si>
    <t>Egresos</t>
  </si>
  <si>
    <t>Utilidad Antes de Impuestos (UAII)</t>
  </si>
  <si>
    <t>Impuesto Ingresos Brutos (3%) (IIB)</t>
  </si>
  <si>
    <t>Monto Imponible</t>
  </si>
  <si>
    <t>Impuesto a las ganancias (35%) (IIGG)</t>
  </si>
  <si>
    <t>Utilidad despues de Impuestos (UDII)</t>
  </si>
  <si>
    <t>Inversión</t>
  </si>
  <si>
    <t>Flujo de Fondos (FF)</t>
  </si>
  <si>
    <t>Tasa de Corte</t>
  </si>
  <si>
    <t>VAN</t>
  </si>
  <si>
    <t>TIR</t>
  </si>
  <si>
    <t>comentario</t>
  </si>
  <si>
    <t>Inversión inicial</t>
  </si>
  <si>
    <t xml:space="preserve">Camionetas </t>
  </si>
  <si>
    <t>Clark</t>
  </si>
  <si>
    <t>Maquina matriz (metales)</t>
  </si>
  <si>
    <t>Maquina fresadora (metales)</t>
  </si>
  <si>
    <t>Maquina CNC (metales)</t>
  </si>
  <si>
    <t>Torno (metales)</t>
  </si>
  <si>
    <t>Inversión - Año 2022</t>
  </si>
  <si>
    <t xml:space="preserve">(+) 3 pc </t>
  </si>
  <si>
    <t>Inversión - Año 2023</t>
  </si>
  <si>
    <t>Maquinaria de Producción</t>
  </si>
  <si>
    <t xml:space="preserve">PC de escritorio + monitor </t>
  </si>
  <si>
    <t>PC de escritorio + monitor</t>
  </si>
  <si>
    <t xml:space="preserve">Mesas de oficina </t>
  </si>
  <si>
    <t>Sillas de oficina</t>
  </si>
  <si>
    <t>Mesas de oficina</t>
  </si>
  <si>
    <t>Ingreso de mesas de oficina</t>
  </si>
  <si>
    <t>Ingreso de sillas de oficina</t>
  </si>
  <si>
    <t>mesas de oficina</t>
  </si>
  <si>
    <t>sillas de oficina</t>
  </si>
  <si>
    <t>Camionetas Mercedes-Benz Vito 2021</t>
  </si>
  <si>
    <t xml:space="preserve">Camionetas Mercedes-Benz Vito 2021 </t>
  </si>
  <si>
    <t>(+) 2 camionetas</t>
  </si>
  <si>
    <t xml:space="preserve">Gasto promedio </t>
  </si>
  <si>
    <t>Sueldo neto</t>
  </si>
  <si>
    <t xml:space="preserve">Matriz de riesgo </t>
  </si>
  <si>
    <t>Modelo de ingresos</t>
  </si>
  <si>
    <t>Capacidad operativa</t>
  </si>
  <si>
    <t>Proyección de ventas</t>
  </si>
  <si>
    <t>Hipótesis</t>
  </si>
  <si>
    <t>Índice</t>
  </si>
  <si>
    <t>Matriz de riesgos</t>
  </si>
  <si>
    <t>Número</t>
  </si>
  <si>
    <t>Riesgo</t>
  </si>
  <si>
    <t>Causa</t>
  </si>
  <si>
    <t>Efecto</t>
  </si>
  <si>
    <t>Probabilidad</t>
  </si>
  <si>
    <t>Impacto</t>
  </si>
  <si>
    <t>Media</t>
  </si>
  <si>
    <t>Alto</t>
  </si>
  <si>
    <t>Baja</t>
  </si>
  <si>
    <t>Pago de juicio por indemnización a operario en accidente laboral no cubierto por ART.</t>
  </si>
  <si>
    <t>Bajo</t>
  </si>
  <si>
    <t>Medio</t>
  </si>
  <si>
    <t>Bloqueo de importaciones</t>
  </si>
  <si>
    <t>ESCENARIO 1</t>
  </si>
  <si>
    <t>Evolución de la participación</t>
  </si>
  <si>
    <t>Ingresos objetivo</t>
  </si>
  <si>
    <t>Ajustes en ingresos y costos variables</t>
  </si>
  <si>
    <t>Costo fijo</t>
  </si>
  <si>
    <t>Costo variable</t>
  </si>
  <si>
    <t>Costo RRHH</t>
  </si>
  <si>
    <t>ESCENARIO 2</t>
  </si>
  <si>
    <t>Riesgo n°1</t>
  </si>
  <si>
    <t>PLAN DE CONTINGENCIA</t>
  </si>
  <si>
    <t>Medidas de contingencia</t>
  </si>
  <si>
    <t>Con plan de contingencia</t>
  </si>
  <si>
    <t>CONCLUSIÓN</t>
  </si>
  <si>
    <t>Aumento inflacionario de un 33% en el año 2022.</t>
  </si>
  <si>
    <t xml:space="preserve">Debido al esquema de políticas macroeconómicas, fiscal y cambiarias asociadas a las decisiones gubernamentales las ventas bajan por la crísis que vive el país. </t>
  </si>
  <si>
    <t xml:space="preserve">Demoras con la producción en la planta industrial debido a inconvenientes ajenos a la empresa pero que repercuten en la misma. </t>
  </si>
  <si>
    <t>Se producen eventos externos que demoran la producción necesaria de la planta.</t>
  </si>
  <si>
    <t xml:space="preserve">Se pierden potenciales clientes por falta de tiempo y stock. </t>
  </si>
  <si>
    <t xml:space="preserve">Inconvenentes de disponibilidad con la plataforma web. </t>
  </si>
  <si>
    <t xml:space="preserve">Sistema caído debido a inconvenientes con el área de tecnología de la empresa. </t>
  </si>
  <si>
    <t>Aumento en el reporte de quejas e insatisfacción del cliente. Utilización de comunicación secundaria. Lentitud en tiempos de respuesta del proceso de ventas.</t>
  </si>
  <si>
    <t>Aumento de tarfias</t>
  </si>
  <si>
    <t>El aumento de la tarifa electrica aumenta a un 45% y el resto de servicios en un 25%</t>
  </si>
  <si>
    <t>Aumentan los servicios básicos para la planta industrial.</t>
  </si>
  <si>
    <t>Un operario tiene un accidente con alguna de las maquinas pertenecientes a la planta. El accidente debido a no estar cubierto por la ART se transfiere a la empresa.</t>
  </si>
  <si>
    <t>Pago de indeminización por $5.000.000 más $500.000 por costas legales.</t>
  </si>
  <si>
    <t xml:space="preserve">Renuncia del jefe de planta </t>
  </si>
  <si>
    <t>Mejor oferta laboral.</t>
  </si>
  <si>
    <t>Demoras en la planta. Quejas sobre la producción por parte del cliente.</t>
  </si>
  <si>
    <t>Aumento de los proveedores de materia prima.</t>
  </si>
  <si>
    <t xml:space="preserve">Aumento de los productos de materia prima necesarios para la producción de la planta. </t>
  </si>
  <si>
    <t xml:space="preserve">Aumento de un 30% en costos de producción. </t>
  </si>
  <si>
    <t xml:space="preserve">Aumento de sueldos en un 70% para el segundo año de producción. </t>
  </si>
  <si>
    <t>Contexto inflacionario de Argentina.</t>
  </si>
  <si>
    <t>Suben los costos de RRHH en un 70% para el segundo año de producción.</t>
  </si>
  <si>
    <t>Controles de calidad rigurosos.</t>
  </si>
  <si>
    <t xml:space="preserve">Aumento de controles. </t>
  </si>
  <si>
    <t>Se demora el proceso de producción.</t>
  </si>
  <si>
    <t>Ingreso de un nuevo competidor durante el segundo año de producción.</t>
  </si>
  <si>
    <t>Copia del modelo de producción propio por parte de la competencia.</t>
  </si>
  <si>
    <t>Robo a los encargados de la logistica (robos a las camionetas que reparten)</t>
  </si>
  <si>
    <t>Contexto de inseguridad.</t>
  </si>
  <si>
    <t>Se pierde el costo de producción de las piezas, no se cumple en tiempo y forma con el cliente.</t>
  </si>
  <si>
    <t>Desperfecto en maquinaria no controlado.</t>
  </si>
  <si>
    <t>Complejidad tecnica.</t>
  </si>
  <si>
    <t xml:space="preserve">Contexto internacional. </t>
  </si>
  <si>
    <t>Se demora el proceso de producción. Se suman costos en el mantenimiento o cambio de la maquinaria.</t>
  </si>
  <si>
    <t>Aumento del dólar en un 30%</t>
  </si>
  <si>
    <t>Aumento del tipo de cambio.</t>
  </si>
  <si>
    <t>Aumentan los costos en base al dólar.</t>
  </si>
  <si>
    <t xml:space="preserve">Juicios por ruidos en la planta. </t>
  </si>
  <si>
    <t xml:space="preserve">Ruidos no controlados en maquinaria de la planta. </t>
  </si>
  <si>
    <t xml:space="preserve">Costos de legales. </t>
  </si>
  <si>
    <t xml:space="preserve">Escenario número 1 </t>
  </si>
  <si>
    <t>Escenario número 2</t>
  </si>
  <si>
    <t>Riesgo n°6</t>
  </si>
  <si>
    <t>Ajustes en costos variables 2023</t>
  </si>
  <si>
    <t>Escenario número 3</t>
  </si>
  <si>
    <t>ESCENARIO 3</t>
  </si>
  <si>
    <t>Riesgo n°11</t>
  </si>
  <si>
    <t>Plan de contingencia</t>
  </si>
  <si>
    <t>Plan de contingencia para escenario 1</t>
  </si>
  <si>
    <t>Escenario 1</t>
  </si>
  <si>
    <t>Ahorro en Inversión 2022</t>
  </si>
  <si>
    <t>Ahorro en inversión 2023</t>
  </si>
  <si>
    <t>Uso del canal de ventas</t>
  </si>
  <si>
    <t xml:space="preserve">Solución Tecnológica </t>
  </si>
  <si>
    <t xml:space="preserve">Soporte solución tecnológica y Página web </t>
  </si>
  <si>
    <t>Solución tecnológica</t>
  </si>
  <si>
    <t>Caen las ventas un 15% en 2022 y 2023.</t>
  </si>
  <si>
    <t>Bajan las ventas un 3% en los años 2022 y 2023</t>
  </si>
  <si>
    <t>De esta forma podemos conservar la rentabilidad del proyecto, como se observa, con el plan de contingencia podemos evitar el VAN negativo y pasar a un estado positivo y poder duplicar la TIR, se logra una diferencia positiva a la misma tasa de corte utilizada para el proyecto.</t>
  </si>
  <si>
    <r>
      <t xml:space="preserve">El plan de contingencia que se llevara a cabo en este escenario en el cual las ventas decaen en un 15% tendrá que ver con:
reducir las inversiones de los años 2022 y 2023, quitando dos vehículos en el año 2022 y uno en el 2023, 
también se decidirá por ahorrar evitando la compra del Clark de 2023, un torno del año 2023 y una maquina matriz para cortes de metales y chapas en el año 2023. Estas 5 medidas se llevaran a cabo para poseer nuestro plan de contingencia ante la negativa o riesgo presentado en el escenario número 1.
</t>
    </r>
    <r>
      <rPr>
        <b/>
        <sz val="11"/>
        <color theme="1"/>
        <rFont val="Calibri"/>
        <family val="2"/>
        <scheme val="minor"/>
      </rPr>
      <t>Medida 1:</t>
    </r>
    <r>
      <rPr>
        <sz val="11"/>
        <color theme="1"/>
        <rFont val="Calibri"/>
        <family val="2"/>
        <scheme val="minor"/>
      </rPr>
      <t xml:space="preserve"> Se decide por la quita de dos de los vehiculos del 2022, ahorrando el monto de 11.800.000 pesos
</t>
    </r>
    <r>
      <rPr>
        <b/>
        <sz val="11"/>
        <color theme="1"/>
        <rFont val="Calibri"/>
        <family val="2"/>
        <scheme val="minor"/>
      </rPr>
      <t>Medida 2:</t>
    </r>
    <r>
      <rPr>
        <sz val="11"/>
        <color theme="1"/>
        <rFont val="Calibri"/>
        <family val="2"/>
        <scheme val="minor"/>
      </rPr>
      <t xml:space="preserve"> Se decide por la quita de uno de los vehiculos del 2023, ahorrando el monto de 5.900.000 pesos
</t>
    </r>
    <r>
      <rPr>
        <b/>
        <sz val="11"/>
        <color theme="1"/>
        <rFont val="Calibri"/>
        <family val="2"/>
        <scheme val="minor"/>
      </rPr>
      <t>Medida 3:</t>
    </r>
    <r>
      <rPr>
        <sz val="11"/>
        <color theme="1"/>
        <rFont val="Calibri"/>
        <family val="2"/>
        <scheme val="minor"/>
      </rPr>
      <t xml:space="preserve"> Se decide ahorrar en el Clark comprado en el año 2023, ahorrando el mondo de 1.750.000 pesos
</t>
    </r>
    <r>
      <rPr>
        <b/>
        <sz val="11"/>
        <color theme="1"/>
        <rFont val="Calibri"/>
        <family val="2"/>
        <scheme val="minor"/>
      </rPr>
      <t>Medida 4:</t>
    </r>
    <r>
      <rPr>
        <sz val="11"/>
        <color theme="1"/>
        <rFont val="Calibri"/>
        <family val="2"/>
        <scheme val="minor"/>
      </rPr>
      <t xml:space="preserve"> Se decide ahorrar en uno de los tornos comprados para el año 2023 ahorrando la suma de 4.510.000 pesos.
</t>
    </r>
    <r>
      <rPr>
        <b/>
        <sz val="11"/>
        <color theme="1"/>
        <rFont val="Calibri"/>
        <family val="2"/>
        <scheme val="minor"/>
      </rPr>
      <t>Medida 5:</t>
    </r>
    <r>
      <rPr>
        <sz val="11"/>
        <color theme="1"/>
        <rFont val="Calibri"/>
        <family val="2"/>
        <scheme val="minor"/>
      </rPr>
      <t xml:space="preserve"> Se decide ahorrar en una de las maquinas (Matriz de metales y chapa) para el año 2023 ahorrando la suma de 730.150 pesos.
</t>
    </r>
  </si>
  <si>
    <t>Porcentaje de costos para presupuesto financiero</t>
  </si>
  <si>
    <t>Porcentaje de publicidad y promoción utilizado para el proyecto.</t>
  </si>
  <si>
    <t>Porcentaje por año en base a ingresos</t>
  </si>
  <si>
    <t>Total sobre publicidad y promoción</t>
  </si>
  <si>
    <t xml:space="preserve">project </t>
  </si>
  <si>
    <t>Planteo de inversiones, riesgo y tasa</t>
  </si>
  <si>
    <t>La tasa de corte utilizada se calcula en base al planteo de inversiones, riesgo y tasa.</t>
  </si>
  <si>
    <t xml:space="preserve">Inversión </t>
  </si>
  <si>
    <t>Tasa</t>
  </si>
  <si>
    <t xml:space="preserve">Plazo fijo </t>
  </si>
  <si>
    <t xml:space="preserve">Bolsa </t>
  </si>
  <si>
    <t>Mercado de valores</t>
  </si>
  <si>
    <t>Universidad Abierta Interamericana - Ingenieria en Sistemas de Información</t>
  </si>
  <si>
    <t>Alumno: Celada Martina</t>
  </si>
  <si>
    <t>Año: 2023</t>
  </si>
  <si>
    <t xml:space="preserve">Se proyecta dentro de la industria de la moda y es exclusivo en el mercado. 
De acuerdo con un nuevo informe de mercado, la impresión 3D provee  innovación a los procesos de pre-producción, imprimiendo eficiencia y velocidad a las interacciones entre la marca, el proveedor y la fábrica. Se pronostica que crecerá a un ritmo de 31.8% en un futuro no muy lejano.
</t>
  </si>
  <si>
    <t>Mercado meta a un valor de 45.2% con respecto al valor del mercado, los ingresos pronosticados se calculan en un crecimiento de 31.8% en base a los 731,9 millones</t>
  </si>
  <si>
    <t>Dada</t>
  </si>
  <si>
    <t>Gretel</t>
  </si>
  <si>
    <t>Monkey</t>
  </si>
  <si>
    <t>Personalizada</t>
  </si>
  <si>
    <t>Creativa</t>
  </si>
  <si>
    <t>Amplitud de productos</t>
  </si>
  <si>
    <t>Personalizad</t>
  </si>
  <si>
    <r>
      <t xml:space="preserve">3D-Bag no tiene mayores incovenientes con el concepto de </t>
    </r>
    <r>
      <rPr>
        <b/>
        <sz val="11"/>
        <color theme="1"/>
        <rFont val="Calibri"/>
        <family val="2"/>
        <scheme val="minor"/>
      </rPr>
      <t>estacionalidad.</t>
    </r>
    <r>
      <rPr>
        <sz val="11"/>
        <color theme="1"/>
        <rFont val="Calibri"/>
        <family val="2"/>
        <scheme val="minor"/>
      </rPr>
      <t xml:space="preserve"> Las ventas dependen de la publicidad, marketing y calidad. En noviembre y diciembre se hacen ajustes en base a la producción anual.</t>
    </r>
  </si>
  <si>
    <t xml:space="preserve">Impresora 3D </t>
  </si>
  <si>
    <t>Maquina de coser industrial</t>
  </si>
  <si>
    <t>Kit completos de herramientas</t>
  </si>
  <si>
    <t>Recicladora</t>
  </si>
  <si>
    <t>(+) 5 pc</t>
  </si>
  <si>
    <t>(+) 5 sillas</t>
  </si>
  <si>
    <t>Ingreso de recicladora</t>
  </si>
  <si>
    <t>(+) 1 recicladora</t>
  </si>
  <si>
    <t>Ingreso de maquina de coser industrial</t>
  </si>
  <si>
    <t>(+)1 maquina de coser industrial</t>
  </si>
  <si>
    <t>Ingreso de impresora 3D</t>
  </si>
  <si>
    <t>(+) 1 impresora 3D</t>
  </si>
  <si>
    <t>(+) 3 pc</t>
  </si>
  <si>
    <t>(+) 1 mesas</t>
  </si>
  <si>
    <t>recicladora</t>
  </si>
  <si>
    <t>maquina de coser industrial</t>
  </si>
  <si>
    <t>impresora 3D</t>
  </si>
  <si>
    <t>Proyección de ventas 2024</t>
  </si>
  <si>
    <t>Capacidad operativa 2024</t>
  </si>
  <si>
    <t>Año 2024</t>
  </si>
  <si>
    <t>(+) 10 operarios</t>
  </si>
  <si>
    <t>(+) 2 maquina de coser industrial</t>
  </si>
  <si>
    <t>(+) 2 impresora 3D</t>
  </si>
  <si>
    <t>3D-Bag es una empresa especializada en la creación y venta de bolsos reciclables impresas mediante una impresora 3D, que pueden ser usadas por todas las personas que deseen un simple cambio en su vida que terminará ayudando al medio ambiente.
Nuestro proyecto se diferencia a la hora de hablar de calidad y resistencia, ya que nuestras bolsas son únicas desarrolladas con la tecnología de fabricación aditiva. Gracias a la impresión 3D, nuestros bolsos se encuentran personalizados, tienen un menor costo y son accesibles a los usuarios.</t>
  </si>
  <si>
    <t>Bolsos impresos 3D</t>
  </si>
  <si>
    <t>CAPACIDAD OPERATIVA AÑO 2024</t>
  </si>
  <si>
    <t>Unidades producidas para el año 2024</t>
  </si>
  <si>
    <t>Modelo: Creativa</t>
  </si>
  <si>
    <t>Modelo: Exclusiva</t>
  </si>
  <si>
    <t>MODELO: Creativa</t>
  </si>
  <si>
    <t>MODELO: Exclusiva</t>
  </si>
  <si>
    <t xml:space="preserve">Comentarios: la materia prima con la que se producen los distintos tipos de bolsos es encargada a los proveedores. </t>
  </si>
  <si>
    <t>Ingresos 2024</t>
  </si>
  <si>
    <t>MODELO: Creativo</t>
  </si>
  <si>
    <t>MODELO: Exclusivo</t>
  </si>
  <si>
    <t>Costos variables - Año 2024</t>
  </si>
  <si>
    <t>Costos de RRHH - Año 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</si>
</sst>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6" formatCode="&quot;$&quot;#,##0_);[Red]\(&quot;$&quot;#,##0\)"/>
    <numFmt numFmtId="44" formatCode="_(&quot;$&quot;* #,##0.00_);_(&quot;$&quot;* \(#,##0.00\);_(&quot;$&quot;* &quot;-&quot;??_);_(@_)"/>
    <numFmt numFmtId="43" formatCode="_(* #,##0.00_);_(* \(#,##0.00\);_(* &quot;-&quot;??_);_(@_)"/>
    <numFmt numFmtId="164" formatCode="_ &quot;$&quot;\ * #,##0.00_ ;_ &quot;$&quot;\ * \-#,##0.00_ ;_ &quot;$&quot;\ * &quot;-&quot;??_ ;_ @_ "/>
    <numFmt numFmtId="165" formatCode="_-* #,##0\ _€_-;\-* #,##0\ _€_-;_-* &quot;-&quot;??\ _€_-;_-@_-"/>
    <numFmt numFmtId="166" formatCode="_-&quot;$&quot;\ * #,##0.00_-;\-&quot;$&quot;\ * #,##0.00_-;_-&quot;$&quot;\ * &quot;-&quot;??_-;_-@_-"/>
    <numFmt numFmtId="167" formatCode="&quot;$&quot;#,##0.00"/>
    <numFmt numFmtId="168" formatCode="_-* #,##0.00\ _€_-;\-* #,##0.00\ _€_-;_-* &quot;-&quot;??\ _€_-;_-@_-"/>
    <numFmt numFmtId="169" formatCode="#,##0_ ;\-#,##0\ "/>
    <numFmt numFmtId="170" formatCode="_-[$$-2C0A]\ * #,##0.00_-;\-[$$-2C0A]\ * #,##0.00_-;_-[$$-2C0A]\ * &quot;-&quot;??_-;_-@_-"/>
    <numFmt numFmtId="171" formatCode="&quot;$&quot;\ #,##0.00"/>
    <numFmt numFmtId="172" formatCode="_(* #,##0_);_(* \(#,##0\);_(* &quot;-&quot;??_);_(@_)"/>
    <numFmt numFmtId="173" formatCode="[$$-2C0A]\ #,##0.00"/>
    <numFmt numFmtId="174" formatCode="#,##0.00\ _€"/>
    <numFmt numFmtId="175" formatCode="&quot;$&quot;#,##0;[Red]\-&quot;$&quot;#,##0"/>
    <numFmt numFmtId="176" formatCode="0.0%"/>
  </numFmts>
  <fonts count="31" x14ac:knownFonts="1">
    <font>
      <sz val="11"/>
      <color theme="1"/>
      <name val="Calibri"/>
      <family val="2"/>
      <scheme val="minor"/>
    </font>
    <font>
      <sz val="11"/>
      <color theme="1"/>
      <name val="Calibri"/>
      <family val="2"/>
      <scheme val="minor"/>
    </font>
    <font>
      <sz val="20"/>
      <color theme="1"/>
      <name val="Calibri"/>
      <family val="2"/>
      <scheme val="minor"/>
    </font>
    <font>
      <b/>
      <sz val="22"/>
      <color theme="1"/>
      <name val="Calibri"/>
      <family val="2"/>
      <scheme val="minor"/>
    </font>
    <font>
      <sz val="10"/>
      <color rgb="FF000000"/>
      <name val="Arial"/>
      <family val="2"/>
    </font>
    <font>
      <sz val="26"/>
      <color theme="1"/>
      <name val="Calibri"/>
      <family val="2"/>
      <scheme val="minor"/>
    </font>
    <font>
      <sz val="16"/>
      <color theme="1"/>
      <name val="Calibri"/>
      <family val="2"/>
      <scheme val="minor"/>
    </font>
    <font>
      <sz val="24"/>
      <color theme="1"/>
      <name val="Calibri"/>
      <family val="2"/>
      <scheme val="minor"/>
    </font>
    <font>
      <b/>
      <sz val="20"/>
      <name val="Calibri"/>
      <family val="2"/>
      <scheme val="minor"/>
    </font>
    <font>
      <b/>
      <sz val="12"/>
      <color theme="1"/>
      <name val="Calibri"/>
      <family val="2"/>
      <scheme val="minor"/>
    </font>
    <font>
      <sz val="12"/>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scheme val="minor"/>
    </font>
    <font>
      <sz val="12"/>
      <color rgb="FF000000"/>
      <name val="Calibri"/>
      <family val="2"/>
      <scheme val="minor"/>
    </font>
    <font>
      <b/>
      <sz val="26"/>
      <color theme="1"/>
      <name val="Calibri"/>
      <family val="2"/>
      <scheme val="minor"/>
    </font>
    <font>
      <b/>
      <u/>
      <sz val="11"/>
      <color theme="1"/>
      <name val="Calibri"/>
      <family val="2"/>
      <scheme val="minor"/>
    </font>
    <font>
      <b/>
      <sz val="12"/>
      <name val="Calibri"/>
      <family val="2"/>
      <scheme val="minor"/>
    </font>
    <font>
      <sz val="12"/>
      <name val="Calibri"/>
      <family val="2"/>
      <scheme val="minor"/>
    </font>
    <font>
      <b/>
      <sz val="10"/>
      <color rgb="FF000000"/>
      <name val="Arial"/>
      <family val="2"/>
    </font>
    <font>
      <b/>
      <sz val="12"/>
      <color rgb="FF000000"/>
      <name val="Calibri"/>
      <family val="2"/>
      <scheme val="minor"/>
    </font>
    <font>
      <b/>
      <sz val="20"/>
      <color theme="1"/>
      <name val="Calibri"/>
      <family val="2"/>
      <scheme val="minor"/>
    </font>
    <font>
      <b/>
      <sz val="14"/>
      <color theme="1"/>
      <name val="Calibri"/>
      <family val="2"/>
      <scheme val="minor"/>
    </font>
    <font>
      <b/>
      <sz val="16"/>
      <color theme="1"/>
      <name val="Calibri"/>
      <family val="2"/>
      <scheme val="minor"/>
    </font>
    <font>
      <sz val="11"/>
      <color rgb="FFFF0000"/>
      <name val="Calibri"/>
      <family val="2"/>
      <scheme val="minor"/>
    </font>
    <font>
      <sz val="12"/>
      <name val="Calibri"/>
      <family val="2"/>
    </font>
    <font>
      <sz val="9"/>
      <color indexed="81"/>
      <name val="Tahoma"/>
      <family val="2"/>
    </font>
    <font>
      <u/>
      <sz val="11"/>
      <color theme="10"/>
      <name val="Calibri"/>
      <family val="2"/>
      <scheme val="minor"/>
    </font>
    <font>
      <b/>
      <sz val="9"/>
      <color indexed="81"/>
      <name val="Tahoma"/>
      <family val="2"/>
    </font>
    <font>
      <b/>
      <sz val="9"/>
      <color indexed="81"/>
      <name val="Tahoma"/>
      <charset val="1"/>
    </font>
    <font>
      <b/>
      <sz val="1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FFFFCC"/>
        <bgColor indexed="64"/>
      </patternFill>
    </fill>
    <fill>
      <patternFill patternType="solid">
        <fgColor rgb="FF538DD5"/>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
      <patternFill patternType="solid">
        <fgColor rgb="FF00B0F0"/>
        <bgColor indexed="64"/>
      </patternFill>
    </fill>
    <fill>
      <patternFill patternType="solid">
        <fgColor theme="9"/>
        <bgColor indexed="64"/>
      </patternFill>
    </fill>
    <fill>
      <patternFill patternType="solid">
        <fgColor theme="7"/>
        <bgColor indexed="64"/>
      </patternFill>
    </fill>
    <fill>
      <patternFill patternType="solid">
        <fgColor theme="6"/>
        <bgColor indexed="64"/>
      </patternFill>
    </fill>
    <fill>
      <patternFill patternType="solid">
        <fgColor rgb="FFF6F68A"/>
        <bgColor indexed="64"/>
      </patternFill>
    </fill>
    <fill>
      <patternFill patternType="solid">
        <fgColor theme="4" tint="0.59999389629810485"/>
        <bgColor indexed="64"/>
      </patternFill>
    </fill>
    <fill>
      <patternFill patternType="solid">
        <fgColor theme="9" tint="-0.499984740745262"/>
        <bgColor indexed="64"/>
      </patternFill>
    </fill>
    <fill>
      <patternFill patternType="solid">
        <fgColor rgb="FF7030A0"/>
        <bgColor indexed="64"/>
      </patternFill>
    </fill>
    <fill>
      <patternFill patternType="solid">
        <fgColor rgb="FFFFC000"/>
        <bgColor theme="4"/>
      </patternFill>
    </fill>
    <fill>
      <patternFill patternType="solid">
        <fgColor rgb="FFFFFF00"/>
        <bgColor theme="4"/>
      </patternFill>
    </fill>
    <fill>
      <patternFill patternType="solid">
        <fgColor rgb="FFFFC000"/>
        <bgColor rgb="FF9FC5E8"/>
      </patternFill>
    </fill>
    <fill>
      <patternFill patternType="solid">
        <fgColor theme="6" tint="0.39997558519241921"/>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6" tint="0.59999389629810485"/>
        <bgColor indexed="64"/>
      </patternFill>
    </fill>
  </fills>
  <borders count="132">
    <border>
      <left/>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ck">
        <color indexed="64"/>
      </right>
      <top style="thin">
        <color indexed="64"/>
      </top>
      <bottom style="thin">
        <color indexed="64"/>
      </bottom>
      <diagonal/>
    </border>
    <border>
      <left style="thin">
        <color auto="1"/>
      </left>
      <right style="thick">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style="thick">
        <color auto="1"/>
      </top>
      <bottom style="thick">
        <color auto="1"/>
      </bottom>
      <diagonal/>
    </border>
    <border>
      <left style="thick">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auto="1"/>
      </left>
      <right style="thick">
        <color auto="1"/>
      </right>
      <top style="thin">
        <color auto="1"/>
      </top>
      <bottom/>
      <diagonal/>
    </border>
    <border>
      <left style="thick">
        <color indexed="64"/>
      </left>
      <right style="thick">
        <color indexed="64"/>
      </right>
      <top style="thick">
        <color indexed="64"/>
      </top>
      <bottom style="thick">
        <color indexed="64"/>
      </bottom>
      <diagonal/>
    </border>
    <border>
      <left style="thick">
        <color indexed="64"/>
      </left>
      <right/>
      <top style="thin">
        <color indexed="64"/>
      </top>
      <bottom style="thin">
        <color indexed="64"/>
      </bottom>
      <diagonal/>
    </border>
    <border>
      <left style="thin">
        <color indexed="64"/>
      </left>
      <right style="thin">
        <color indexed="64"/>
      </right>
      <top/>
      <bottom style="thick">
        <color auto="1"/>
      </bottom>
      <diagonal/>
    </border>
    <border>
      <left style="thick">
        <color indexed="64"/>
      </left>
      <right/>
      <top style="thin">
        <color indexed="64"/>
      </top>
      <bottom/>
      <diagonal/>
    </border>
    <border>
      <left style="thick">
        <color indexed="64"/>
      </left>
      <right style="thin">
        <color indexed="64"/>
      </right>
      <top/>
      <bottom style="thick">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right style="thin">
        <color indexed="64"/>
      </right>
      <top style="medium">
        <color indexed="64"/>
      </top>
      <bottom/>
      <diagonal/>
    </border>
    <border>
      <left style="medium">
        <color indexed="64"/>
      </left>
      <right style="thin">
        <color indexed="64"/>
      </right>
      <top style="medium">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style="thick">
        <color indexed="64"/>
      </right>
      <top/>
      <bottom style="thin">
        <color indexed="64"/>
      </bottom>
      <diagonal/>
    </border>
    <border>
      <left style="thin">
        <color indexed="64"/>
      </left>
      <right style="thin">
        <color indexed="64"/>
      </right>
      <top style="medium">
        <color indexed="64"/>
      </top>
      <bottom style="thick">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style="medium">
        <color indexed="64"/>
      </bottom>
      <diagonal/>
    </border>
    <border>
      <left/>
      <right style="thin">
        <color indexed="64"/>
      </right>
      <top/>
      <bottom/>
      <diagonal/>
    </border>
    <border>
      <left style="thin">
        <color indexed="64"/>
      </left>
      <right style="medium">
        <color indexed="64"/>
      </right>
      <top/>
      <bottom style="medium">
        <color indexed="64"/>
      </bottom>
      <diagonal/>
    </border>
    <border>
      <left style="thin">
        <color indexed="64"/>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right/>
      <top style="thick">
        <color indexed="64"/>
      </top>
      <bottom style="thin">
        <color indexed="64"/>
      </bottom>
      <diagonal/>
    </border>
  </borders>
  <cellStyleXfs count="10">
    <xf numFmtId="0" fontId="0" fillId="0" borderId="0"/>
    <xf numFmtId="164" fontId="1" fillId="0" borderId="0" applyFont="0" applyFill="0" applyBorder="0" applyAlignment="0" applyProtection="0"/>
    <xf numFmtId="0" fontId="4" fillId="0" borderId="0"/>
    <xf numFmtId="9" fontId="4" fillId="0" borderId="0" applyFont="0" applyFill="0" applyBorder="0" applyAlignment="0" applyProtection="0"/>
    <xf numFmtId="164" fontId="1"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27" fillId="0" borderId="0" applyNumberFormat="0" applyFill="0" applyBorder="0" applyAlignment="0" applyProtection="0"/>
  </cellStyleXfs>
  <cellXfs count="1041">
    <xf numFmtId="0" fontId="0" fillId="0" borderId="0" xfId="0"/>
    <xf numFmtId="0" fontId="0" fillId="0" borderId="7" xfId="0" applyBorder="1"/>
    <xf numFmtId="0" fontId="0" fillId="0" borderId="4" xfId="0" applyBorder="1"/>
    <xf numFmtId="0" fontId="0" fillId="0" borderId="6" xfId="0" applyBorder="1"/>
    <xf numFmtId="0" fontId="0" fillId="0" borderId="8" xfId="0" applyBorder="1"/>
    <xf numFmtId="0" fontId="0" fillId="0" borderId="5" xfId="0" applyBorder="1"/>
    <xf numFmtId="0" fontId="0" fillId="0" borderId="9" xfId="0" applyBorder="1"/>
    <xf numFmtId="0" fontId="0" fillId="0" borderId="10"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2" borderId="0" xfId="0" applyFill="1"/>
    <xf numFmtId="9" fontId="10" fillId="3" borderId="28" xfId="7" applyFont="1" applyFill="1" applyBorder="1" applyAlignment="1">
      <alignment horizontal="left" vertical="top" wrapText="1"/>
    </xf>
    <xf numFmtId="0" fontId="8" fillId="3" borderId="0" xfId="0" applyFont="1" applyFill="1" applyAlignment="1">
      <alignment horizontal="left"/>
    </xf>
    <xf numFmtId="0" fontId="9" fillId="5" borderId="28" xfId="0" applyFont="1" applyFill="1" applyBorder="1" applyAlignment="1">
      <alignment horizontal="left" vertical="top" wrapText="1"/>
    </xf>
    <xf numFmtId="0" fontId="9" fillId="5" borderId="47" xfId="0" applyFont="1" applyFill="1" applyBorder="1" applyAlignment="1">
      <alignment horizontal="left" vertical="top" wrapText="1"/>
    </xf>
    <xf numFmtId="0" fontId="10" fillId="3" borderId="47" xfId="0" applyFont="1" applyFill="1" applyBorder="1" applyAlignment="1">
      <alignment horizontal="left" vertical="top" wrapText="1"/>
    </xf>
    <xf numFmtId="0" fontId="10" fillId="3" borderId="36" xfId="0" applyFont="1" applyFill="1" applyBorder="1" applyAlignment="1">
      <alignment horizontal="left" vertical="top" wrapText="1"/>
    </xf>
    <xf numFmtId="9" fontId="10" fillId="3" borderId="37" xfId="7" applyFont="1" applyFill="1" applyBorder="1" applyAlignment="1">
      <alignment horizontal="left" vertical="top" wrapText="1"/>
    </xf>
    <xf numFmtId="0" fontId="14" fillId="0" borderId="47" xfId="0" applyFont="1" applyBorder="1" applyAlignment="1">
      <alignment wrapText="1"/>
    </xf>
    <xf numFmtId="6" fontId="14" fillId="0" borderId="49" xfId="0" applyNumberFormat="1" applyFont="1" applyBorder="1" applyAlignment="1">
      <alignment horizontal="center" wrapText="1"/>
    </xf>
    <xf numFmtId="0" fontId="9" fillId="5" borderId="49" xfId="0" applyFont="1" applyFill="1" applyBorder="1" applyAlignment="1">
      <alignment horizontal="left" vertical="top" wrapText="1"/>
    </xf>
    <xf numFmtId="166" fontId="10" fillId="3" borderId="38" xfId="0" applyNumberFormat="1" applyFont="1" applyFill="1" applyBorder="1" applyAlignment="1">
      <alignment horizontal="left" vertical="top" wrapText="1"/>
    </xf>
    <xf numFmtId="0" fontId="0" fillId="3" borderId="0" xfId="0" applyFill="1"/>
    <xf numFmtId="0" fontId="0" fillId="8" borderId="5" xfId="0" applyFill="1" applyBorder="1"/>
    <xf numFmtId="165" fontId="11" fillId="8" borderId="68" xfId="0" applyNumberFormat="1" applyFont="1" applyFill="1" applyBorder="1"/>
    <xf numFmtId="0" fontId="11" fillId="10" borderId="54" xfId="0" applyFont="1" applyFill="1" applyBorder="1" applyAlignment="1">
      <alignment horizontal="center" vertical="center" wrapText="1"/>
    </xf>
    <xf numFmtId="0" fontId="11" fillId="10" borderId="55" xfId="0" applyFont="1" applyFill="1" applyBorder="1" applyAlignment="1">
      <alignment horizontal="center" vertical="center" wrapText="1"/>
    </xf>
    <xf numFmtId="166" fontId="0" fillId="8" borderId="59" xfId="8" applyNumberFormat="1" applyFont="1" applyFill="1" applyBorder="1"/>
    <xf numFmtId="165" fontId="0" fillId="8" borderId="57" xfId="6" applyNumberFormat="1" applyFont="1" applyFill="1" applyBorder="1"/>
    <xf numFmtId="166" fontId="0" fillId="8" borderId="58" xfId="8" applyNumberFormat="1" applyFont="1" applyFill="1" applyBorder="1"/>
    <xf numFmtId="165" fontId="0" fillId="8" borderId="57" xfId="0" applyNumberFormat="1" applyFill="1" applyBorder="1"/>
    <xf numFmtId="165" fontId="0" fillId="8" borderId="58" xfId="0" applyNumberFormat="1" applyFill="1" applyBorder="1"/>
    <xf numFmtId="168" fontId="10" fillId="11" borderId="61" xfId="6" applyNumberFormat="1" applyFont="1" applyFill="1" applyBorder="1" applyAlignment="1"/>
    <xf numFmtId="166" fontId="0" fillId="11" borderId="29" xfId="8" applyNumberFormat="1" applyFont="1" applyFill="1" applyBorder="1"/>
    <xf numFmtId="165" fontId="0" fillId="11" borderId="61" xfId="6" applyNumberFormat="1" applyFont="1" applyFill="1" applyBorder="1"/>
    <xf numFmtId="166" fontId="0" fillId="11" borderId="62" xfId="8" applyNumberFormat="1" applyFont="1" applyFill="1" applyBorder="1"/>
    <xf numFmtId="165" fontId="0" fillId="11" borderId="61" xfId="0" applyNumberFormat="1" applyFill="1" applyBorder="1"/>
    <xf numFmtId="168" fontId="10" fillId="11" borderId="57" xfId="6" applyNumberFormat="1" applyFont="1" applyFill="1" applyBorder="1" applyAlignment="1"/>
    <xf numFmtId="168" fontId="10" fillId="12" borderId="57" xfId="6" applyNumberFormat="1" applyFont="1" applyFill="1" applyBorder="1" applyAlignment="1">
      <alignment wrapText="1"/>
    </xf>
    <xf numFmtId="168" fontId="10" fillId="12" borderId="64" xfId="6" applyNumberFormat="1" applyFont="1" applyFill="1" applyBorder="1" applyAlignment="1"/>
    <xf numFmtId="166" fontId="0" fillId="12" borderId="66" xfId="8" applyNumberFormat="1" applyFont="1" applyFill="1" applyBorder="1"/>
    <xf numFmtId="165" fontId="0" fillId="12" borderId="64" xfId="6" applyNumberFormat="1" applyFont="1" applyFill="1" applyBorder="1"/>
    <xf numFmtId="166" fontId="0" fillId="12" borderId="65" xfId="8" applyNumberFormat="1" applyFont="1" applyFill="1" applyBorder="1"/>
    <xf numFmtId="165" fontId="0" fillId="12" borderId="64" xfId="0" applyNumberFormat="1" applyFill="1" applyBorder="1"/>
    <xf numFmtId="165" fontId="0" fillId="12" borderId="65" xfId="0" applyNumberFormat="1" applyFill="1" applyBorder="1"/>
    <xf numFmtId="168" fontId="10" fillId="13" borderId="57" xfId="6" applyNumberFormat="1" applyFont="1" applyFill="1" applyBorder="1" applyAlignment="1"/>
    <xf numFmtId="168" fontId="10" fillId="13" borderId="64" xfId="6" applyNumberFormat="1" applyFont="1" applyFill="1" applyBorder="1" applyAlignment="1"/>
    <xf numFmtId="166" fontId="0" fillId="13" borderId="66" xfId="8" applyNumberFormat="1" applyFont="1" applyFill="1" applyBorder="1"/>
    <xf numFmtId="165" fontId="0" fillId="13" borderId="64" xfId="6" applyNumberFormat="1" applyFont="1" applyFill="1" applyBorder="1"/>
    <xf numFmtId="166" fontId="0" fillId="13" borderId="65" xfId="8" applyNumberFormat="1" applyFont="1" applyFill="1" applyBorder="1"/>
    <xf numFmtId="165" fontId="0" fillId="13" borderId="64" xfId="0" applyNumberFormat="1" applyFill="1" applyBorder="1"/>
    <xf numFmtId="165" fontId="0" fillId="13" borderId="65" xfId="0" applyNumberFormat="1" applyFill="1" applyBorder="1"/>
    <xf numFmtId="166" fontId="11" fillId="2" borderId="69" xfId="8" applyNumberFormat="1" applyFont="1" applyFill="1" applyBorder="1"/>
    <xf numFmtId="166" fontId="11" fillId="2" borderId="73" xfId="0" applyNumberFormat="1" applyFont="1" applyFill="1" applyBorder="1"/>
    <xf numFmtId="169" fontId="9" fillId="13" borderId="32" xfId="6" applyNumberFormat="1" applyFont="1" applyFill="1" applyBorder="1" applyAlignment="1">
      <alignment vertical="center" wrapText="1"/>
    </xf>
    <xf numFmtId="169" fontId="9" fillId="11" borderId="32" xfId="6" applyNumberFormat="1" applyFont="1" applyFill="1" applyBorder="1" applyAlignment="1">
      <alignment vertical="center"/>
    </xf>
    <xf numFmtId="169" fontId="9" fillId="8" borderId="32" xfId="6" applyNumberFormat="1" applyFont="1" applyFill="1" applyBorder="1" applyAlignment="1">
      <alignment vertical="center"/>
    </xf>
    <xf numFmtId="169" fontId="9" fillId="12" borderId="32" xfId="6" applyNumberFormat="1" applyFont="1" applyFill="1" applyBorder="1" applyAlignment="1">
      <alignment vertical="center"/>
    </xf>
    <xf numFmtId="0" fontId="0" fillId="3" borderId="28" xfId="0" applyFill="1" applyBorder="1" applyAlignment="1">
      <alignment horizontal="center"/>
    </xf>
    <xf numFmtId="166" fontId="0" fillId="3" borderId="49" xfId="8" applyNumberFormat="1" applyFont="1" applyFill="1" applyBorder="1" applyAlignment="1">
      <alignment horizontal="center"/>
    </xf>
    <xf numFmtId="0" fontId="0" fillId="0" borderId="47" xfId="0" applyBorder="1" applyAlignment="1">
      <alignment horizontal="left" vertical="center"/>
    </xf>
    <xf numFmtId="0" fontId="0" fillId="0" borderId="36" xfId="0" applyBorder="1" applyAlignment="1">
      <alignment horizontal="left" vertical="center"/>
    </xf>
    <xf numFmtId="0" fontId="0" fillId="3" borderId="37" xfId="0" applyFill="1" applyBorder="1" applyAlignment="1">
      <alignment horizontal="center"/>
    </xf>
    <xf numFmtId="166" fontId="0" fillId="3" borderId="38" xfId="8" applyNumberFormat="1" applyFont="1" applyFill="1" applyBorder="1" applyAlignment="1">
      <alignment horizontal="center"/>
    </xf>
    <xf numFmtId="0" fontId="9" fillId="2" borderId="74" xfId="0" applyFont="1" applyFill="1" applyBorder="1" applyAlignment="1">
      <alignment horizontal="center" vertical="center"/>
    </xf>
    <xf numFmtId="166" fontId="11" fillId="2" borderId="75" xfId="0" applyNumberFormat="1" applyFont="1" applyFill="1" applyBorder="1"/>
    <xf numFmtId="0" fontId="9" fillId="2" borderId="28" xfId="0" applyFont="1" applyFill="1" applyBorder="1" applyAlignment="1">
      <alignment horizontal="center" vertical="center"/>
    </xf>
    <xf numFmtId="167" fontId="0" fillId="0" borderId="28" xfId="0" applyNumberFormat="1" applyBorder="1" applyAlignment="1">
      <alignment horizontal="center"/>
    </xf>
    <xf numFmtId="167" fontId="0" fillId="0" borderId="37" xfId="0" applyNumberFormat="1" applyBorder="1" applyAlignment="1">
      <alignment horizontal="center"/>
    </xf>
    <xf numFmtId="0" fontId="0" fillId="8" borderId="15" xfId="0" applyFill="1" applyBorder="1" applyAlignment="1">
      <alignment wrapText="1"/>
    </xf>
    <xf numFmtId="168" fontId="13" fillId="14" borderId="70" xfId="6" applyNumberFormat="1" applyFont="1" applyFill="1" applyBorder="1" applyAlignment="1">
      <alignment horizontal="center" vertical="center" wrapText="1"/>
    </xf>
    <xf numFmtId="168" fontId="13" fillId="14" borderId="69" xfId="6" applyNumberFormat="1" applyFont="1" applyFill="1" applyBorder="1" applyAlignment="1">
      <alignment horizontal="center" vertical="center" wrapText="1"/>
    </xf>
    <xf numFmtId="168" fontId="9" fillId="14" borderId="68" xfId="6" applyNumberFormat="1" applyFont="1" applyFill="1" applyBorder="1" applyAlignment="1">
      <alignment horizontal="center" vertical="center" wrapText="1"/>
    </xf>
    <xf numFmtId="166" fontId="0" fillId="11" borderId="28" xfId="0" applyNumberFormat="1" applyFill="1" applyBorder="1" applyAlignment="1">
      <alignment wrapText="1"/>
    </xf>
    <xf numFmtId="166" fontId="0" fillId="8" borderId="34" xfId="0" applyNumberFormat="1" applyFill="1" applyBorder="1" applyAlignment="1">
      <alignment wrapText="1"/>
    </xf>
    <xf numFmtId="166" fontId="0" fillId="8" borderId="35" xfId="0" applyNumberFormat="1" applyFill="1" applyBorder="1" applyAlignment="1">
      <alignment wrapText="1"/>
    </xf>
    <xf numFmtId="166" fontId="0" fillId="11" borderId="49" xfId="0" applyNumberFormat="1" applyFill="1" applyBorder="1" applyAlignment="1">
      <alignment wrapText="1"/>
    </xf>
    <xf numFmtId="166" fontId="0" fillId="12" borderId="37" xfId="0" applyNumberFormat="1" applyFill="1" applyBorder="1" applyAlignment="1">
      <alignment wrapText="1"/>
    </xf>
    <xf numFmtId="166" fontId="0" fillId="12" borderId="38" xfId="0" applyNumberFormat="1" applyFill="1" applyBorder="1" applyAlignment="1">
      <alignment wrapText="1"/>
    </xf>
    <xf numFmtId="168" fontId="10" fillId="12" borderId="33" xfId="6" applyNumberFormat="1" applyFont="1" applyFill="1" applyBorder="1" applyAlignment="1">
      <alignment horizontal="center" vertical="center" wrapText="1"/>
    </xf>
    <xf numFmtId="168" fontId="10" fillId="11" borderId="33" xfId="6" applyNumberFormat="1" applyFont="1" applyFill="1" applyBorder="1" applyAlignment="1">
      <alignment horizontal="center" vertical="center" wrapText="1"/>
    </xf>
    <xf numFmtId="168" fontId="10" fillId="11" borderId="47" xfId="6" applyNumberFormat="1" applyFont="1" applyFill="1" applyBorder="1" applyAlignment="1">
      <alignment wrapText="1"/>
    </xf>
    <xf numFmtId="168" fontId="10" fillId="12" borderId="36" xfId="6" applyNumberFormat="1" applyFont="1" applyFill="1" applyBorder="1" applyAlignment="1">
      <alignment wrapText="1"/>
    </xf>
    <xf numFmtId="168" fontId="10" fillId="13" borderId="33" xfId="6" applyNumberFormat="1" applyFont="1" applyFill="1" applyBorder="1" applyAlignment="1">
      <alignment horizontal="center" vertical="center" wrapText="1"/>
    </xf>
    <xf numFmtId="168" fontId="10" fillId="13" borderId="77" xfId="6" applyNumberFormat="1" applyFont="1" applyFill="1" applyBorder="1" applyAlignment="1">
      <alignment wrapText="1"/>
    </xf>
    <xf numFmtId="0" fontId="0" fillId="2" borderId="74" xfId="0" applyFill="1" applyBorder="1" applyAlignment="1">
      <alignment wrapText="1"/>
    </xf>
    <xf numFmtId="166" fontId="0" fillId="2" borderId="76" xfId="0" applyNumberFormat="1" applyFill="1" applyBorder="1"/>
    <xf numFmtId="166" fontId="0" fillId="2" borderId="75" xfId="0" applyNumberFormat="1" applyFill="1" applyBorder="1"/>
    <xf numFmtId="170" fontId="14" fillId="3" borderId="28" xfId="0" applyNumberFormat="1" applyFont="1" applyFill="1" applyBorder="1" applyAlignment="1">
      <alignment horizontal="right" vertical="top"/>
    </xf>
    <xf numFmtId="170" fontId="19" fillId="15" borderId="67" xfId="0" applyNumberFormat="1" applyFont="1" applyFill="1" applyBorder="1"/>
    <xf numFmtId="170" fontId="14" fillId="3" borderId="49" xfId="4" applyNumberFormat="1" applyFont="1" applyFill="1" applyBorder="1" applyAlignment="1">
      <alignment horizontal="right" vertical="top"/>
    </xf>
    <xf numFmtId="170" fontId="18" fillId="3" borderId="28" xfId="0" applyNumberFormat="1" applyFont="1" applyFill="1" applyBorder="1" applyAlignment="1">
      <alignment horizontal="right" vertical="top"/>
    </xf>
    <xf numFmtId="170" fontId="14" fillId="3" borderId="70" xfId="0" applyNumberFormat="1" applyFont="1" applyFill="1" applyBorder="1" applyAlignment="1">
      <alignment horizontal="right" vertical="top"/>
    </xf>
    <xf numFmtId="170" fontId="14" fillId="3" borderId="37" xfId="0" applyNumberFormat="1" applyFont="1" applyFill="1" applyBorder="1" applyAlignment="1">
      <alignment horizontal="right" vertical="top"/>
    </xf>
    <xf numFmtId="170" fontId="14" fillId="3" borderId="38" xfId="4" applyNumberFormat="1" applyFont="1" applyFill="1" applyBorder="1" applyAlignment="1">
      <alignment horizontal="right" vertical="top"/>
    </xf>
    <xf numFmtId="170" fontId="10" fillId="3" borderId="36" xfId="0" applyNumberFormat="1" applyFont="1" applyFill="1" applyBorder="1" applyAlignment="1">
      <alignment horizontal="left" vertical="top" wrapText="1"/>
    </xf>
    <xf numFmtId="170" fontId="10" fillId="3" borderId="37" xfId="7" applyNumberFormat="1" applyFont="1" applyFill="1" applyBorder="1" applyAlignment="1">
      <alignment horizontal="left" vertical="top" wrapText="1"/>
    </xf>
    <xf numFmtId="0" fontId="0" fillId="8" borderId="20" xfId="0" applyFill="1" applyBorder="1"/>
    <xf numFmtId="0" fontId="11" fillId="9" borderId="28" xfId="0" applyFont="1" applyFill="1" applyBorder="1" applyAlignment="1">
      <alignment horizontal="center"/>
    </xf>
    <xf numFmtId="0" fontId="11" fillId="9" borderId="56" xfId="0" applyFont="1" applyFill="1" applyBorder="1" applyAlignment="1">
      <alignment horizontal="center"/>
    </xf>
    <xf numFmtId="0" fontId="0" fillId="3" borderId="33" xfId="0" applyFill="1" applyBorder="1" applyAlignment="1">
      <alignment horizontal="left" vertical="center"/>
    </xf>
    <xf numFmtId="1" fontId="0" fillId="3" borderId="34" xfId="0" applyNumberFormat="1" applyFill="1" applyBorder="1" applyAlignment="1">
      <alignment horizontal="center"/>
    </xf>
    <xf numFmtId="0" fontId="0" fillId="3" borderId="47" xfId="0" applyFill="1" applyBorder="1" applyAlignment="1">
      <alignment horizontal="left" vertical="center"/>
    </xf>
    <xf numFmtId="1" fontId="0" fillId="3" borderId="28" xfId="0" applyNumberFormat="1" applyFill="1" applyBorder="1" applyAlignment="1">
      <alignment horizontal="center"/>
    </xf>
    <xf numFmtId="0" fontId="0" fillId="3" borderId="36" xfId="0" applyFill="1" applyBorder="1" applyAlignment="1">
      <alignment horizontal="left" vertical="center"/>
    </xf>
    <xf numFmtId="1" fontId="0" fillId="3" borderId="37" xfId="0" applyNumberFormat="1" applyFill="1" applyBorder="1" applyAlignment="1">
      <alignment horizontal="center"/>
    </xf>
    <xf numFmtId="0" fontId="0" fillId="3" borderId="76" xfId="0" applyFill="1" applyBorder="1" applyAlignment="1">
      <alignment horizontal="center"/>
    </xf>
    <xf numFmtId="0" fontId="0" fillId="8" borderId="83" xfId="0" applyFill="1" applyBorder="1"/>
    <xf numFmtId="0" fontId="11" fillId="2" borderId="15" xfId="0" applyFont="1" applyFill="1" applyBorder="1" applyAlignment="1">
      <alignment horizontal="center" vertical="center"/>
    </xf>
    <xf numFmtId="0" fontId="11" fillId="9" borderId="77" xfId="0" applyFont="1" applyFill="1" applyBorder="1" applyAlignment="1">
      <alignment horizontal="center"/>
    </xf>
    <xf numFmtId="0" fontId="11" fillId="2" borderId="23" xfId="0" applyFont="1" applyFill="1" applyBorder="1" applyAlignment="1">
      <alignment horizontal="center" vertical="center"/>
    </xf>
    <xf numFmtId="0" fontId="0" fillId="3" borderId="74" xfId="0" applyFill="1" applyBorder="1" applyAlignment="1">
      <alignment horizontal="center"/>
    </xf>
    <xf numFmtId="0" fontId="0" fillId="3" borderId="33" xfId="0" applyFill="1" applyBorder="1" applyAlignment="1">
      <alignment horizontal="left"/>
    </xf>
    <xf numFmtId="0" fontId="0" fillId="3" borderId="34" xfId="0" applyFill="1" applyBorder="1" applyAlignment="1">
      <alignment horizontal="center"/>
    </xf>
    <xf numFmtId="0" fontId="11" fillId="2" borderId="80" xfId="0" applyFont="1" applyFill="1" applyBorder="1" applyAlignment="1">
      <alignment horizontal="center" vertical="center" wrapText="1"/>
    </xf>
    <xf numFmtId="167" fontId="0" fillId="3" borderId="76" xfId="0" applyNumberFormat="1" applyFill="1" applyBorder="1" applyAlignment="1">
      <alignment horizontal="right"/>
    </xf>
    <xf numFmtId="167" fontId="0" fillId="3" borderId="34" xfId="0" applyNumberFormat="1" applyFill="1" applyBorder="1" applyAlignment="1">
      <alignment vertical="center"/>
    </xf>
    <xf numFmtId="167" fontId="0" fillId="3" borderId="34" xfId="0" applyNumberFormat="1" applyFill="1" applyBorder="1"/>
    <xf numFmtId="167" fontId="0" fillId="3" borderId="28" xfId="0" applyNumberFormat="1" applyFill="1" applyBorder="1"/>
    <xf numFmtId="167" fontId="0" fillId="3" borderId="37" xfId="0" applyNumberFormat="1" applyFill="1" applyBorder="1"/>
    <xf numFmtId="167" fontId="0" fillId="3" borderId="34" xfId="0" applyNumberFormat="1" applyFill="1" applyBorder="1" applyAlignment="1">
      <alignment horizontal="right"/>
    </xf>
    <xf numFmtId="167" fontId="0" fillId="3" borderId="28" xfId="0" applyNumberFormat="1" applyFill="1" applyBorder="1" applyAlignment="1">
      <alignment horizontal="right"/>
    </xf>
    <xf numFmtId="167" fontId="0" fillId="3" borderId="37" xfId="0" applyNumberFormat="1" applyFill="1" applyBorder="1" applyAlignment="1">
      <alignment horizontal="right"/>
    </xf>
    <xf numFmtId="167" fontId="0" fillId="3" borderId="75" xfId="0" applyNumberFormat="1" applyFill="1" applyBorder="1" applyAlignment="1">
      <alignment horizontal="right" vertical="center"/>
    </xf>
    <xf numFmtId="167" fontId="0" fillId="3" borderId="35" xfId="0" applyNumberFormat="1" applyFill="1" applyBorder="1" applyAlignment="1">
      <alignment horizontal="right"/>
    </xf>
    <xf numFmtId="167" fontId="0" fillId="3" borderId="49" xfId="0" applyNumberFormat="1" applyFill="1" applyBorder="1" applyAlignment="1">
      <alignment horizontal="right"/>
    </xf>
    <xf numFmtId="167" fontId="0" fillId="3" borderId="38" xfId="0" applyNumberFormat="1" applyFill="1" applyBorder="1" applyAlignment="1">
      <alignment horizontal="right"/>
    </xf>
    <xf numFmtId="0" fontId="0" fillId="3" borderId="74" xfId="0" applyFill="1" applyBorder="1" applyAlignment="1">
      <alignment horizontal="left" vertical="center"/>
    </xf>
    <xf numFmtId="167" fontId="0" fillId="3" borderId="76" xfId="0" applyNumberFormat="1" applyFill="1" applyBorder="1"/>
    <xf numFmtId="1" fontId="0" fillId="3" borderId="76" xfId="0" applyNumberFormat="1" applyFill="1" applyBorder="1" applyAlignment="1">
      <alignment horizontal="center"/>
    </xf>
    <xf numFmtId="167" fontId="0" fillId="3" borderId="75" xfId="0" applyNumberFormat="1" applyFill="1" applyBorder="1" applyAlignment="1">
      <alignment horizontal="right"/>
    </xf>
    <xf numFmtId="0" fontId="11" fillId="2" borderId="84" xfId="0" applyFont="1" applyFill="1" applyBorder="1" applyAlignment="1">
      <alignment horizontal="center"/>
    </xf>
    <xf numFmtId="0" fontId="0" fillId="2" borderId="82" xfId="0" applyFill="1" applyBorder="1"/>
    <xf numFmtId="1" fontId="0" fillId="2" borderId="82" xfId="0" applyNumberFormat="1" applyFill="1" applyBorder="1"/>
    <xf numFmtId="167" fontId="0" fillId="2" borderId="82" xfId="0" applyNumberFormat="1" applyFill="1" applyBorder="1"/>
    <xf numFmtId="0" fontId="11" fillId="3" borderId="89" xfId="0" applyFont="1" applyFill="1" applyBorder="1" applyAlignment="1">
      <alignment horizontal="center" vertical="center"/>
    </xf>
    <xf numFmtId="171" fontId="0" fillId="3" borderId="90" xfId="0" applyNumberFormat="1" applyFill="1" applyBorder="1" applyAlignment="1">
      <alignment horizontal="left" wrapText="1"/>
    </xf>
    <xf numFmtId="0" fontId="11" fillId="3" borderId="26" xfId="0" applyFont="1" applyFill="1" applyBorder="1" applyAlignment="1">
      <alignment horizontal="center"/>
    </xf>
    <xf numFmtId="0" fontId="11" fillId="3" borderId="32" xfId="0" applyFont="1" applyFill="1" applyBorder="1" applyAlignment="1">
      <alignment horizontal="center"/>
    </xf>
    <xf numFmtId="0" fontId="11" fillId="3" borderId="85" xfId="0" applyFont="1" applyFill="1" applyBorder="1" applyAlignment="1">
      <alignment horizontal="center" vertical="center"/>
    </xf>
    <xf numFmtId="0" fontId="0" fillId="3" borderId="86" xfId="0" applyFill="1" applyBorder="1" applyAlignment="1">
      <alignment horizontal="left" wrapText="1"/>
    </xf>
    <xf numFmtId="171" fontId="0" fillId="3" borderId="86" xfId="0" applyNumberFormat="1" applyFill="1" applyBorder="1" applyAlignment="1">
      <alignment horizontal="left" wrapText="1"/>
    </xf>
    <xf numFmtId="171" fontId="0" fillId="3" borderId="86" xfId="0" applyNumberFormat="1" applyFill="1" applyBorder="1"/>
    <xf numFmtId="171" fontId="0" fillId="3" borderId="92" xfId="0" applyNumberFormat="1" applyFill="1" applyBorder="1"/>
    <xf numFmtId="0" fontId="0" fillId="3" borderId="61" xfId="0" applyFill="1" applyBorder="1" applyAlignment="1">
      <alignment horizontal="center" vertical="center"/>
    </xf>
    <xf numFmtId="0" fontId="0" fillId="3" borderId="28" xfId="0" applyFill="1" applyBorder="1" applyAlignment="1">
      <alignment horizontal="center" vertical="center"/>
    </xf>
    <xf numFmtId="0" fontId="0" fillId="3" borderId="94" xfId="0" applyFill="1" applyBorder="1" applyAlignment="1">
      <alignment horizontal="center" vertical="center"/>
    </xf>
    <xf numFmtId="0" fontId="0" fillId="3" borderId="28" xfId="0" applyFill="1" applyBorder="1" applyAlignment="1">
      <alignment wrapText="1"/>
    </xf>
    <xf numFmtId="0" fontId="0" fillId="3" borderId="28" xfId="0" applyFill="1" applyBorder="1" applyAlignment="1">
      <alignment horizontal="center" wrapText="1"/>
    </xf>
    <xf numFmtId="0" fontId="0" fillId="3" borderId="28" xfId="0" applyFill="1" applyBorder="1"/>
    <xf numFmtId="0" fontId="0" fillId="3" borderId="56" xfId="0" applyFill="1" applyBorder="1" applyAlignment="1">
      <alignment wrapText="1"/>
    </xf>
    <xf numFmtId="0" fontId="0" fillId="3" borderId="56" xfId="0" applyFill="1" applyBorder="1" applyAlignment="1">
      <alignment horizontal="center" wrapText="1"/>
    </xf>
    <xf numFmtId="0" fontId="0" fillId="3" borderId="56" xfId="0" applyFill="1" applyBorder="1"/>
    <xf numFmtId="0" fontId="11" fillId="3" borderId="105" xfId="0" applyFont="1" applyFill="1" applyBorder="1" applyAlignment="1">
      <alignment horizontal="center" vertical="center" wrapText="1"/>
    </xf>
    <xf numFmtId="0" fontId="11" fillId="3" borderId="73" xfId="0" applyFont="1" applyFill="1" applyBorder="1" applyAlignment="1">
      <alignment horizontal="center" vertical="center" wrapText="1"/>
    </xf>
    <xf numFmtId="0" fontId="11" fillId="2" borderId="50" xfId="0" applyFont="1" applyFill="1" applyBorder="1" applyAlignment="1">
      <alignment horizontal="center" vertical="center" wrapText="1"/>
    </xf>
    <xf numFmtId="0" fontId="0" fillId="3" borderId="57" xfId="0" applyFill="1" applyBorder="1" applyAlignment="1">
      <alignment horizontal="center" vertical="center"/>
    </xf>
    <xf numFmtId="0" fontId="0" fillId="3" borderId="88" xfId="0" applyFill="1" applyBorder="1" applyAlignment="1">
      <alignment vertical="center" wrapText="1"/>
    </xf>
    <xf numFmtId="0" fontId="0" fillId="3" borderId="88" xfId="0" applyFill="1" applyBorder="1" applyAlignment="1">
      <alignment horizontal="center" vertical="center"/>
    </xf>
    <xf numFmtId="0" fontId="0" fillId="3" borderId="58" xfId="0" applyFill="1" applyBorder="1" applyAlignment="1">
      <alignment horizontal="center" vertical="center"/>
    </xf>
    <xf numFmtId="0" fontId="0" fillId="3" borderId="28" xfId="0" applyFill="1" applyBorder="1" applyAlignment="1">
      <alignment vertical="center" wrapText="1"/>
    </xf>
    <xf numFmtId="0" fontId="0" fillId="3" borderId="62" xfId="0" applyFill="1" applyBorder="1" applyAlignment="1">
      <alignment horizontal="center" vertical="center"/>
    </xf>
    <xf numFmtId="0" fontId="0" fillId="3" borderId="64" xfId="0" applyFill="1" applyBorder="1" applyAlignment="1">
      <alignment horizontal="center" vertical="center"/>
    </xf>
    <xf numFmtId="0" fontId="0" fillId="3" borderId="94" xfId="0" applyFill="1" applyBorder="1" applyAlignment="1">
      <alignment vertical="center" wrapText="1"/>
    </xf>
    <xf numFmtId="0" fontId="0" fillId="3" borderId="65" xfId="0" applyFill="1" applyBorder="1" applyAlignment="1">
      <alignment horizontal="center" vertical="center"/>
    </xf>
    <xf numFmtId="2" fontId="0" fillId="3" borderId="69" xfId="0" applyNumberFormat="1" applyFill="1" applyBorder="1" applyAlignment="1">
      <alignment horizontal="center" vertical="center"/>
    </xf>
    <xf numFmtId="1" fontId="11" fillId="3" borderId="51" xfId="0" applyNumberFormat="1" applyFont="1" applyFill="1" applyBorder="1" applyAlignment="1">
      <alignment horizontal="center" vertical="center"/>
    </xf>
    <xf numFmtId="0" fontId="11" fillId="2" borderId="106" xfId="0" applyFont="1" applyFill="1" applyBorder="1" applyAlignment="1">
      <alignment horizontal="center" vertical="center" wrapText="1"/>
    </xf>
    <xf numFmtId="0" fontId="11" fillId="2" borderId="78" xfId="0" applyFont="1" applyFill="1" applyBorder="1" applyAlignment="1">
      <alignment horizontal="center" vertical="center" wrapText="1"/>
    </xf>
    <xf numFmtId="0" fontId="11" fillId="2" borderId="73" xfId="0" applyFont="1" applyFill="1" applyBorder="1" applyAlignment="1">
      <alignment horizontal="center" vertical="center" wrapText="1"/>
    </xf>
    <xf numFmtId="0" fontId="11" fillId="7" borderId="106" xfId="0" applyFont="1" applyFill="1" applyBorder="1" applyAlignment="1">
      <alignment horizontal="center" vertical="center" wrapText="1"/>
    </xf>
    <xf numFmtId="172" fontId="9" fillId="11" borderId="32" xfId="6" applyNumberFormat="1" applyFont="1" applyFill="1" applyBorder="1" applyAlignment="1">
      <alignment vertical="center"/>
    </xf>
    <xf numFmtId="172" fontId="9" fillId="12" borderId="32" xfId="6" applyNumberFormat="1" applyFont="1" applyFill="1" applyBorder="1" applyAlignment="1">
      <alignment vertical="center"/>
    </xf>
    <xf numFmtId="172" fontId="9" fillId="13" borderId="32" xfId="6" applyNumberFormat="1" applyFont="1" applyFill="1" applyBorder="1" applyAlignment="1">
      <alignment vertical="center" wrapText="1"/>
    </xf>
    <xf numFmtId="169" fontId="10" fillId="16" borderId="26" xfId="0" applyNumberFormat="1" applyFont="1" applyFill="1" applyBorder="1"/>
    <xf numFmtId="169" fontId="9" fillId="16" borderId="26" xfId="0" applyNumberFormat="1" applyFont="1" applyFill="1" applyBorder="1"/>
    <xf numFmtId="169" fontId="10" fillId="8" borderId="32" xfId="6" applyNumberFormat="1" applyFont="1" applyFill="1" applyBorder="1" applyAlignment="1">
      <alignment vertical="center"/>
    </xf>
    <xf numFmtId="168" fontId="9" fillId="2" borderId="50" xfId="6" applyNumberFormat="1" applyFont="1" applyFill="1" applyBorder="1" applyAlignment="1">
      <alignment horizontal="left" vertical="center" wrapText="1"/>
    </xf>
    <xf numFmtId="168" fontId="9" fillId="2" borderId="51" xfId="6" applyNumberFormat="1" applyFont="1" applyFill="1" applyBorder="1" applyAlignment="1">
      <alignment horizontal="left" vertical="center" wrapText="1"/>
    </xf>
    <xf numFmtId="44" fontId="0" fillId="0" borderId="4" xfId="0" applyNumberFormat="1" applyBorder="1"/>
    <xf numFmtId="165" fontId="0" fillId="0" borderId="5" xfId="0" applyNumberFormat="1" applyBorder="1"/>
    <xf numFmtId="169" fontId="0" fillId="0" borderId="5" xfId="0" applyNumberFormat="1" applyBorder="1"/>
    <xf numFmtId="172" fontId="0" fillId="0" borderId="0" xfId="0" applyNumberFormat="1"/>
    <xf numFmtId="0" fontId="11" fillId="2" borderId="47" xfId="0" applyFont="1" applyFill="1" applyBorder="1" applyAlignment="1">
      <alignment horizontal="center" vertical="center" wrapText="1"/>
    </xf>
    <xf numFmtId="0" fontId="11" fillId="2" borderId="49" xfId="0" applyFont="1" applyFill="1" applyBorder="1" applyAlignment="1">
      <alignment horizontal="center" vertical="center" wrapText="1"/>
    </xf>
    <xf numFmtId="0" fontId="0" fillId="3" borderId="47" xfId="0" applyFill="1" applyBorder="1" applyAlignment="1">
      <alignment wrapText="1"/>
    </xf>
    <xf numFmtId="0" fontId="0" fillId="3" borderId="49" xfId="0" applyFill="1" applyBorder="1" applyAlignment="1">
      <alignment wrapText="1"/>
    </xf>
    <xf numFmtId="0" fontId="0" fillId="3" borderId="36" xfId="0" applyFill="1" applyBorder="1" applyAlignment="1">
      <alignment wrapText="1"/>
    </xf>
    <xf numFmtId="0" fontId="9" fillId="11" borderId="49" xfId="0" applyFont="1" applyFill="1" applyBorder="1" applyAlignment="1">
      <alignment horizontal="center" vertical="center"/>
    </xf>
    <xf numFmtId="0" fontId="9" fillId="17" borderId="47" xfId="0" applyFont="1" applyFill="1" applyBorder="1" applyAlignment="1">
      <alignment horizontal="center" vertical="center" wrapText="1"/>
    </xf>
    <xf numFmtId="0" fontId="9" fillId="17" borderId="49" xfId="0" applyFont="1" applyFill="1" applyBorder="1" applyAlignment="1">
      <alignment horizontal="center" vertical="center"/>
    </xf>
    <xf numFmtId="0" fontId="9" fillId="4" borderId="47" xfId="0" applyFont="1" applyFill="1" applyBorder="1" applyAlignment="1">
      <alignment horizontal="center" vertical="center" wrapText="1"/>
    </xf>
    <xf numFmtId="0" fontId="9" fillId="4" borderId="49" xfId="0" applyFont="1" applyFill="1" applyBorder="1" applyAlignment="1">
      <alignment horizontal="center" vertical="center"/>
    </xf>
    <xf numFmtId="0" fontId="24" fillId="7" borderId="38" xfId="0" applyFont="1" applyFill="1" applyBorder="1" applyAlignment="1">
      <alignment wrapText="1"/>
    </xf>
    <xf numFmtId="0" fontId="0" fillId="0" borderId="47" xfId="0" applyBorder="1" applyAlignment="1">
      <alignment horizontal="left" vertical="center" wrapText="1"/>
    </xf>
    <xf numFmtId="0" fontId="10" fillId="3" borderId="0" xfId="0" applyFont="1" applyFill="1" applyAlignment="1">
      <alignment horizontal="left" vertical="top" wrapText="1"/>
    </xf>
    <xf numFmtId="9" fontId="10" fillId="3" borderId="0" xfId="7" applyFont="1" applyFill="1" applyBorder="1" applyAlignment="1">
      <alignment horizontal="left" vertical="top" wrapText="1"/>
    </xf>
    <xf numFmtId="166" fontId="10" fillId="3" borderId="0" xfId="0" applyNumberFormat="1" applyFont="1" applyFill="1" applyAlignment="1">
      <alignment horizontal="left" vertical="top" wrapText="1"/>
    </xf>
    <xf numFmtId="0" fontId="0" fillId="3" borderId="108" xfId="0" applyFill="1" applyBorder="1" applyAlignment="1">
      <alignment horizontal="left"/>
    </xf>
    <xf numFmtId="167" fontId="0" fillId="3" borderId="97" xfId="0" applyNumberFormat="1" applyFill="1" applyBorder="1" applyAlignment="1">
      <alignment vertical="center"/>
    </xf>
    <xf numFmtId="0" fontId="0" fillId="3" borderId="97" xfId="0" applyFill="1" applyBorder="1" applyAlignment="1">
      <alignment horizontal="center"/>
    </xf>
    <xf numFmtId="167" fontId="10" fillId="3" borderId="36" xfId="0" applyNumberFormat="1" applyFont="1" applyFill="1" applyBorder="1" applyAlignment="1">
      <alignment horizontal="left" vertical="top" wrapText="1"/>
    </xf>
    <xf numFmtId="167" fontId="10" fillId="3" borderId="37" xfId="7" applyNumberFormat="1" applyFont="1" applyFill="1" applyBorder="1" applyAlignment="1">
      <alignment horizontal="left" vertical="top" wrapText="1"/>
    </xf>
    <xf numFmtId="173" fontId="9" fillId="3" borderId="64" xfId="0" applyNumberFormat="1" applyFont="1" applyFill="1" applyBorder="1" applyAlignment="1">
      <alignment horizontal="center"/>
    </xf>
    <xf numFmtId="173" fontId="9" fillId="3" borderId="94" xfId="0" applyNumberFormat="1" applyFont="1" applyFill="1" applyBorder="1" applyAlignment="1">
      <alignment horizontal="center"/>
    </xf>
    <xf numFmtId="173" fontId="9" fillId="3" borderId="65" xfId="0" applyNumberFormat="1" applyFont="1" applyFill="1" applyBorder="1" applyAlignment="1">
      <alignment horizontal="center"/>
    </xf>
    <xf numFmtId="170" fontId="25" fillId="3" borderId="97" xfId="2" applyNumberFormat="1" applyFont="1" applyFill="1" applyBorder="1"/>
    <xf numFmtId="174" fontId="10" fillId="3" borderId="12" xfId="0" applyNumberFormat="1" applyFont="1" applyFill="1" applyBorder="1"/>
    <xf numFmtId="174" fontId="10" fillId="3" borderId="63" xfId="0" applyNumberFormat="1" applyFont="1" applyFill="1" applyBorder="1"/>
    <xf numFmtId="170" fontId="25" fillId="3" borderId="94" xfId="2" applyNumberFormat="1" applyFont="1" applyFill="1" applyBorder="1"/>
    <xf numFmtId="0" fontId="0" fillId="0" borderId="28" xfId="0" applyBorder="1" applyAlignment="1">
      <alignment horizontal="center"/>
    </xf>
    <xf numFmtId="171" fontId="11" fillId="2" borderId="65" xfId="0" applyNumberFormat="1" applyFont="1" applyFill="1" applyBorder="1"/>
    <xf numFmtId="174" fontId="10" fillId="3" borderId="0" xfId="0" applyNumberFormat="1" applyFont="1" applyFill="1"/>
    <xf numFmtId="170" fontId="25" fillId="3" borderId="0" xfId="2" applyNumberFormat="1" applyFont="1" applyFill="1"/>
    <xf numFmtId="0" fontId="11" fillId="7" borderId="61" xfId="0" applyFont="1" applyFill="1" applyBorder="1" applyAlignment="1">
      <alignment horizontal="center"/>
    </xf>
    <xf numFmtId="0" fontId="11" fillId="7" borderId="28" xfId="0" applyFont="1" applyFill="1" applyBorder="1" applyAlignment="1">
      <alignment horizontal="center"/>
    </xf>
    <xf numFmtId="0" fontId="11" fillId="7" borderId="62" xfId="0" applyFont="1" applyFill="1" applyBorder="1" applyAlignment="1">
      <alignment horizontal="center"/>
    </xf>
    <xf numFmtId="10" fontId="18" fillId="7" borderId="88" xfId="2" applyNumberFormat="1" applyFont="1" applyFill="1" applyBorder="1" applyAlignment="1">
      <alignment horizontal="center" vertical="center" wrapText="1"/>
    </xf>
    <xf numFmtId="0" fontId="18" fillId="18" borderId="94" xfId="2" applyFont="1" applyFill="1" applyBorder="1" applyAlignment="1">
      <alignment horizontal="center" vertical="center" wrapText="1"/>
    </xf>
    <xf numFmtId="0" fontId="18" fillId="18" borderId="94" xfId="2" applyFont="1" applyFill="1" applyBorder="1" applyAlignment="1">
      <alignment horizontal="center" vertical="center"/>
    </xf>
    <xf numFmtId="170" fontId="9" fillId="3" borderId="0" xfId="2" applyNumberFormat="1" applyFont="1" applyFill="1"/>
    <xf numFmtId="170" fontId="9" fillId="4" borderId="117" xfId="2" applyNumberFormat="1" applyFont="1" applyFill="1" applyBorder="1"/>
    <xf numFmtId="170" fontId="9" fillId="4" borderId="90" xfId="2" applyNumberFormat="1" applyFont="1" applyFill="1" applyBorder="1"/>
    <xf numFmtId="170" fontId="9" fillId="4" borderId="92" xfId="2" applyNumberFormat="1" applyFont="1" applyFill="1" applyBorder="1"/>
    <xf numFmtId="171" fontId="0" fillId="3" borderId="92" xfId="0" applyNumberFormat="1" applyFill="1" applyBorder="1" applyAlignment="1">
      <alignment horizontal="left" wrapText="1"/>
    </xf>
    <xf numFmtId="170" fontId="25" fillId="3" borderId="65" xfId="2" applyNumberFormat="1" applyFont="1" applyFill="1" applyBorder="1"/>
    <xf numFmtId="174" fontId="10" fillId="3" borderId="104" xfId="0" applyNumberFormat="1" applyFont="1" applyFill="1" applyBorder="1"/>
    <xf numFmtId="10" fontId="18" fillId="7" borderId="88" xfId="3" applyNumberFormat="1" applyFont="1" applyFill="1" applyBorder="1" applyAlignment="1">
      <alignment horizontal="center" vertical="center" wrapText="1"/>
    </xf>
    <xf numFmtId="171" fontId="0" fillId="4" borderId="62" xfId="0" applyNumberFormat="1" applyFill="1" applyBorder="1"/>
    <xf numFmtId="0" fontId="11" fillId="4" borderId="94" xfId="0" applyFont="1" applyFill="1" applyBorder="1" applyAlignment="1">
      <alignment horizontal="center"/>
    </xf>
    <xf numFmtId="167" fontId="11" fillId="4" borderId="94" xfId="0" applyNumberFormat="1" applyFont="1" applyFill="1" applyBorder="1" applyAlignment="1">
      <alignment horizontal="center"/>
    </xf>
    <xf numFmtId="0" fontId="11" fillId="3" borderId="89" xfId="0" applyFont="1" applyFill="1" applyBorder="1" applyAlignment="1">
      <alignment horizontal="center" vertical="center" wrapText="1"/>
    </xf>
    <xf numFmtId="0" fontId="11" fillId="3" borderId="85" xfId="0" applyFont="1" applyFill="1" applyBorder="1" applyAlignment="1">
      <alignment horizontal="center" vertical="center" wrapText="1"/>
    </xf>
    <xf numFmtId="0" fontId="11" fillId="3" borderId="60" xfId="0" applyFont="1" applyFill="1" applyBorder="1" applyAlignment="1">
      <alignment horizontal="center" vertical="center" wrapText="1"/>
    </xf>
    <xf numFmtId="0" fontId="11" fillId="3" borderId="3" xfId="0" applyFont="1" applyFill="1" applyBorder="1" applyAlignment="1">
      <alignment horizontal="center" vertical="center"/>
    </xf>
    <xf numFmtId="171" fontId="0" fillId="3" borderId="119" xfId="0" applyNumberFormat="1" applyFill="1" applyBorder="1" applyAlignment="1">
      <alignment horizontal="left" wrapText="1"/>
    </xf>
    <xf numFmtId="0" fontId="11" fillId="3" borderId="91" xfId="0" applyFont="1" applyFill="1" applyBorder="1" applyAlignment="1">
      <alignment horizontal="center" vertical="center" wrapText="1"/>
    </xf>
    <xf numFmtId="166" fontId="0" fillId="8" borderId="97" xfId="0" applyNumberFormat="1" applyFill="1" applyBorder="1" applyAlignment="1">
      <alignment wrapText="1"/>
    </xf>
    <xf numFmtId="166" fontId="0" fillId="8" borderId="120" xfId="0" applyNumberFormat="1" applyFill="1" applyBorder="1" applyAlignment="1">
      <alignment wrapText="1"/>
    </xf>
    <xf numFmtId="166" fontId="0" fillId="13" borderId="37" xfId="0" applyNumberFormat="1" applyFill="1" applyBorder="1" applyAlignment="1">
      <alignment wrapText="1"/>
    </xf>
    <xf numFmtId="166" fontId="0" fillId="13" borderId="121" xfId="0" applyNumberFormat="1" applyFill="1" applyBorder="1" applyAlignment="1">
      <alignment wrapText="1"/>
    </xf>
    <xf numFmtId="166" fontId="0" fillId="13" borderId="122" xfId="0" applyNumberFormat="1" applyFill="1" applyBorder="1" applyAlignment="1">
      <alignment wrapText="1"/>
    </xf>
    <xf numFmtId="166" fontId="0" fillId="8" borderId="103" xfId="0" applyNumberFormat="1" applyFill="1" applyBorder="1" applyAlignment="1">
      <alignment wrapText="1"/>
    </xf>
    <xf numFmtId="166" fontId="0" fillId="8" borderId="123" xfId="0" applyNumberFormat="1" applyFill="1" applyBorder="1" applyAlignment="1">
      <alignment wrapText="1"/>
    </xf>
    <xf numFmtId="0" fontId="11" fillId="4" borderId="93" xfId="0" applyFont="1" applyFill="1" applyBorder="1" applyAlignment="1">
      <alignment horizontal="center"/>
    </xf>
    <xf numFmtId="0" fontId="9" fillId="4" borderId="32" xfId="0" applyFont="1" applyFill="1" applyBorder="1" applyAlignment="1">
      <alignment horizontal="center" vertical="center"/>
    </xf>
    <xf numFmtId="0" fontId="11" fillId="3" borderId="28" xfId="0" applyFont="1" applyFill="1" applyBorder="1" applyAlignment="1">
      <alignment horizontal="center"/>
    </xf>
    <xf numFmtId="0" fontId="0" fillId="2" borderId="28" xfId="0" applyFill="1" applyBorder="1" applyAlignment="1">
      <alignment horizontal="center"/>
    </xf>
    <xf numFmtId="0" fontId="9" fillId="2" borderId="63" xfId="0" applyFont="1" applyFill="1" applyBorder="1" applyAlignment="1">
      <alignment horizontal="center" vertical="center"/>
    </xf>
    <xf numFmtId="0" fontId="11" fillId="3" borderId="32" xfId="0" applyFont="1" applyFill="1" applyBorder="1"/>
    <xf numFmtId="173" fontId="9" fillId="3" borderId="93" xfId="0" applyNumberFormat="1" applyFont="1" applyFill="1" applyBorder="1"/>
    <xf numFmtId="173" fontId="9" fillId="3" borderId="94" xfId="0" applyNumberFormat="1" applyFont="1" applyFill="1" applyBorder="1"/>
    <xf numFmtId="173" fontId="9" fillId="3" borderId="65" xfId="0" applyNumberFormat="1" applyFont="1" applyFill="1" applyBorder="1"/>
    <xf numFmtId="170" fontId="18" fillId="3" borderId="86" xfId="0" applyNumberFormat="1" applyFont="1" applyFill="1" applyBorder="1" applyAlignment="1">
      <alignment horizontal="right" vertical="top"/>
    </xf>
    <xf numFmtId="170" fontId="18" fillId="3" borderId="90" xfId="0" applyNumberFormat="1" applyFont="1" applyFill="1" applyBorder="1" applyAlignment="1">
      <alignment horizontal="right" vertical="top"/>
    </xf>
    <xf numFmtId="170" fontId="18" fillId="3" borderId="92" xfId="0" applyNumberFormat="1" applyFont="1" applyFill="1" applyBorder="1" applyAlignment="1">
      <alignment horizontal="right" vertical="top"/>
    </xf>
    <xf numFmtId="170" fontId="10" fillId="3" borderId="32" xfId="0" applyNumberFormat="1" applyFont="1" applyFill="1" applyBorder="1"/>
    <xf numFmtId="0" fontId="0" fillId="4" borderId="28" xfId="0" applyFill="1" applyBorder="1" applyAlignment="1">
      <alignment horizontal="center"/>
    </xf>
    <xf numFmtId="0" fontId="0" fillId="4" borderId="62" xfId="0" applyFill="1" applyBorder="1" applyAlignment="1">
      <alignment horizontal="center"/>
    </xf>
    <xf numFmtId="0" fontId="0" fillId="4" borderId="61" xfId="0" applyFill="1" applyBorder="1" applyAlignment="1">
      <alignment horizontal="center"/>
    </xf>
    <xf numFmtId="173" fontId="9" fillId="3" borderId="0" xfId="0" applyNumberFormat="1" applyFont="1" applyFill="1" applyAlignment="1">
      <alignment horizontal="center"/>
    </xf>
    <xf numFmtId="171" fontId="0" fillId="0" borderId="64" xfId="0" applyNumberFormat="1" applyBorder="1" applyAlignment="1">
      <alignment horizontal="center"/>
    </xf>
    <xf numFmtId="171" fontId="0" fillId="0" borderId="94" xfId="0" applyNumberFormat="1" applyBorder="1" applyAlignment="1">
      <alignment horizontal="center"/>
    </xf>
    <xf numFmtId="171" fontId="0" fillId="0" borderId="65" xfId="0" applyNumberFormat="1" applyBorder="1" applyAlignment="1">
      <alignment horizontal="center"/>
    </xf>
    <xf numFmtId="0" fontId="0" fillId="0" borderId="61" xfId="0" applyBorder="1" applyAlignment="1">
      <alignment vertical="center"/>
    </xf>
    <xf numFmtId="171" fontId="0" fillId="0" borderId="28" xfId="0" applyNumberFormat="1" applyBorder="1" applyAlignment="1">
      <alignment horizontal="center"/>
    </xf>
    <xf numFmtId="0" fontId="0" fillId="0" borderId="64" xfId="0" applyBorder="1" applyAlignment="1">
      <alignment vertical="center"/>
    </xf>
    <xf numFmtId="0" fontId="0" fillId="0" borderId="94" xfId="0" applyBorder="1" applyAlignment="1">
      <alignment horizontal="center"/>
    </xf>
    <xf numFmtId="171" fontId="11" fillId="2" borderId="67" xfId="0" applyNumberFormat="1" applyFont="1" applyFill="1" applyBorder="1" applyAlignment="1">
      <alignment horizontal="center"/>
    </xf>
    <xf numFmtId="171" fontId="0" fillId="0" borderId="62" xfId="0" applyNumberFormat="1" applyBorder="1" applyAlignment="1">
      <alignment horizontal="center"/>
    </xf>
    <xf numFmtId="171" fontId="0" fillId="0" borderId="55" xfId="0" applyNumberFormat="1" applyBorder="1" applyAlignment="1">
      <alignment horizontal="center"/>
    </xf>
    <xf numFmtId="171" fontId="11" fillId="2" borderId="32" xfId="0" applyNumberFormat="1" applyFont="1" applyFill="1" applyBorder="1" applyAlignment="1">
      <alignment horizontal="center"/>
    </xf>
    <xf numFmtId="0" fontId="0" fillId="0" borderId="88" xfId="0" applyBorder="1" applyAlignment="1">
      <alignment horizontal="center"/>
    </xf>
    <xf numFmtId="171" fontId="0" fillId="0" borderId="88" xfId="0" applyNumberFormat="1" applyBorder="1" applyAlignment="1">
      <alignment horizontal="center"/>
    </xf>
    <xf numFmtId="171" fontId="0" fillId="2" borderId="57" xfId="0" applyNumberFormat="1" applyFill="1" applyBorder="1"/>
    <xf numFmtId="171" fontId="0" fillId="2" borderId="88" xfId="0" applyNumberFormat="1" applyFill="1" applyBorder="1"/>
    <xf numFmtId="171" fontId="0" fillId="2" borderId="58" xfId="0" applyNumberFormat="1" applyFill="1" applyBorder="1"/>
    <xf numFmtId="171" fontId="0" fillId="2" borderId="61" xfId="0" applyNumberFormat="1" applyFill="1" applyBorder="1" applyAlignment="1">
      <alignment horizontal="center"/>
    </xf>
    <xf numFmtId="171" fontId="0" fillId="2" borderId="61" xfId="0" applyNumberFormat="1" applyFill="1" applyBorder="1"/>
    <xf numFmtId="171" fontId="0" fillId="2" borderId="28" xfId="0" applyNumberFormat="1" applyFill="1" applyBorder="1"/>
    <xf numFmtId="171" fontId="0" fillId="2" borderId="62" xfId="0" applyNumberFormat="1" applyFill="1" applyBorder="1"/>
    <xf numFmtId="171" fontId="0" fillId="2" borderId="28" xfId="0" applyNumberFormat="1" applyFill="1" applyBorder="1" applyAlignment="1">
      <alignment horizontal="center"/>
    </xf>
    <xf numFmtId="171" fontId="0" fillId="2" borderId="65" xfId="0" applyNumberFormat="1" applyFill="1" applyBorder="1" applyAlignment="1">
      <alignment horizontal="center"/>
    </xf>
    <xf numFmtId="171" fontId="0" fillId="2" borderId="62" xfId="0" applyNumberFormat="1" applyFill="1" applyBorder="1" applyAlignment="1">
      <alignment horizontal="center"/>
    </xf>
    <xf numFmtId="171" fontId="9" fillId="2" borderId="125" xfId="0" applyNumberFormat="1" applyFont="1" applyFill="1" applyBorder="1"/>
    <xf numFmtId="171" fontId="9" fillId="2" borderId="118" xfId="0" applyNumberFormat="1" applyFont="1" applyFill="1" applyBorder="1"/>
    <xf numFmtId="171" fontId="9" fillId="2" borderId="51" xfId="0" applyNumberFormat="1" applyFont="1" applyFill="1" applyBorder="1"/>
    <xf numFmtId="0" fontId="8" fillId="3" borderId="0" xfId="0" applyFont="1" applyFill="1"/>
    <xf numFmtId="0" fontId="11" fillId="3" borderId="0" xfId="0" applyFont="1" applyFill="1" applyAlignment="1">
      <alignment horizontal="center"/>
    </xf>
    <xf numFmtId="171" fontId="0" fillId="3" borderId="0" xfId="0" applyNumberFormat="1" applyFill="1" applyAlignment="1">
      <alignment horizontal="center"/>
    </xf>
    <xf numFmtId="0" fontId="0" fillId="0" borderId="12" xfId="0" applyBorder="1" applyAlignment="1">
      <alignment horizontal="center"/>
    </xf>
    <xf numFmtId="171" fontId="0" fillId="0" borderId="97" xfId="0" applyNumberFormat="1" applyBorder="1" applyAlignment="1">
      <alignment horizontal="center"/>
    </xf>
    <xf numFmtId="171" fontId="0" fillId="0" borderId="98" xfId="0" applyNumberFormat="1" applyBorder="1" applyAlignment="1">
      <alignment horizontal="center"/>
    </xf>
    <xf numFmtId="0" fontId="0" fillId="0" borderId="62" xfId="0" applyBorder="1"/>
    <xf numFmtId="0" fontId="0" fillId="0" borderId="63" xfId="0" applyBorder="1" applyAlignment="1">
      <alignment horizontal="center"/>
    </xf>
    <xf numFmtId="0" fontId="0" fillId="0" borderId="55" xfId="0" applyBorder="1"/>
    <xf numFmtId="0" fontId="0" fillId="0" borderId="2" xfId="0" applyBorder="1" applyAlignment="1">
      <alignment horizontal="center"/>
    </xf>
    <xf numFmtId="171" fontId="0" fillId="0" borderId="56" xfId="0" applyNumberFormat="1" applyBorder="1" applyAlignment="1">
      <alignment horizontal="center"/>
    </xf>
    <xf numFmtId="0" fontId="0" fillId="2" borderId="50" xfId="0" applyFill="1" applyBorder="1" applyAlignment="1">
      <alignment horizontal="left"/>
    </xf>
    <xf numFmtId="0" fontId="0" fillId="2" borderId="51" xfId="0" applyFill="1" applyBorder="1" applyAlignment="1">
      <alignment horizontal="left"/>
    </xf>
    <xf numFmtId="0" fontId="0" fillId="2" borderId="125" xfId="0" applyFill="1" applyBorder="1" applyAlignment="1">
      <alignment horizontal="center"/>
    </xf>
    <xf numFmtId="171" fontId="0" fillId="2" borderId="118" xfId="0" applyNumberFormat="1" applyFill="1" applyBorder="1" applyAlignment="1">
      <alignment horizontal="center"/>
    </xf>
    <xf numFmtId="171" fontId="0" fillId="2" borderId="51" xfId="0" applyNumberFormat="1" applyFill="1" applyBorder="1" applyAlignment="1">
      <alignment horizontal="center"/>
    </xf>
    <xf numFmtId="0" fontId="0" fillId="0" borderId="101" xfId="0" applyBorder="1" applyAlignment="1">
      <alignment horizontal="left"/>
    </xf>
    <xf numFmtId="0" fontId="0" fillId="0" borderId="98" xfId="0" applyBorder="1" applyAlignment="1">
      <alignment horizontal="left"/>
    </xf>
    <xf numFmtId="171" fontId="0" fillId="0" borderId="126" xfId="0" applyNumberFormat="1" applyBorder="1" applyAlignment="1">
      <alignment horizontal="center"/>
    </xf>
    <xf numFmtId="171" fontId="0" fillId="0" borderId="70" xfId="0" applyNumberFormat="1" applyBorder="1" applyAlignment="1">
      <alignment horizontal="center"/>
    </xf>
    <xf numFmtId="171" fontId="0" fillId="0" borderId="69" xfId="0" applyNumberFormat="1" applyBorder="1" applyAlignment="1">
      <alignment horizontal="center"/>
    </xf>
    <xf numFmtId="171" fontId="0" fillId="2" borderId="125" xfId="0" applyNumberFormat="1" applyFill="1" applyBorder="1" applyAlignment="1">
      <alignment horizontal="center"/>
    </xf>
    <xf numFmtId="171" fontId="11" fillId="2" borderId="57" xfId="0" applyNumberFormat="1" applyFont="1" applyFill="1" applyBorder="1"/>
    <xf numFmtId="171" fontId="11" fillId="2" borderId="61" xfId="0" applyNumberFormat="1" applyFont="1" applyFill="1" applyBorder="1"/>
    <xf numFmtId="171" fontId="11" fillId="2" borderId="64" xfId="0" applyNumberFormat="1" applyFont="1" applyFill="1" applyBorder="1"/>
    <xf numFmtId="0" fontId="11" fillId="7" borderId="101" xfId="0" applyFont="1" applyFill="1" applyBorder="1" applyAlignment="1">
      <alignment horizontal="center"/>
    </xf>
    <xf numFmtId="0" fontId="11" fillId="7" borderId="97" xfId="0" applyFont="1" applyFill="1" applyBorder="1" applyAlignment="1">
      <alignment horizontal="center"/>
    </xf>
    <xf numFmtId="0" fontId="11" fillId="7" borderId="98" xfId="0" applyFont="1" applyFill="1" applyBorder="1" applyAlignment="1">
      <alignment horizontal="center"/>
    </xf>
    <xf numFmtId="0" fontId="27" fillId="0" borderId="65" xfId="9" applyBorder="1"/>
    <xf numFmtId="0" fontId="0" fillId="3" borderId="98" xfId="0" applyFill="1" applyBorder="1" applyAlignment="1">
      <alignment vertical="center"/>
    </xf>
    <xf numFmtId="0" fontId="9" fillId="7" borderId="50" xfId="0" applyFont="1" applyFill="1" applyBorder="1" applyAlignment="1">
      <alignment horizontal="center"/>
    </xf>
    <xf numFmtId="0" fontId="9" fillId="7" borderId="118" xfId="0" applyFont="1" applyFill="1" applyBorder="1" applyAlignment="1">
      <alignment horizontal="center"/>
    </xf>
    <xf numFmtId="0" fontId="9" fillId="7" borderId="51" xfId="0" applyFont="1" applyFill="1" applyBorder="1" applyAlignment="1">
      <alignment horizontal="center"/>
    </xf>
    <xf numFmtId="167" fontId="0" fillId="3" borderId="97" xfId="0" applyNumberFormat="1" applyFill="1" applyBorder="1" applyAlignment="1">
      <alignment horizontal="center"/>
    </xf>
    <xf numFmtId="0" fontId="1" fillId="0" borderId="62" xfId="9" applyNumberFormat="1" applyFont="1" applyBorder="1"/>
    <xf numFmtId="171" fontId="0" fillId="0" borderId="63" xfId="0" applyNumberFormat="1" applyBorder="1" applyAlignment="1">
      <alignment horizontal="center"/>
    </xf>
    <xf numFmtId="0" fontId="0" fillId="0" borderId="101" xfId="0" applyBorder="1" applyAlignment="1">
      <alignment vertical="center"/>
    </xf>
    <xf numFmtId="0" fontId="0" fillId="0" borderId="63" xfId="0" applyBorder="1"/>
    <xf numFmtId="171" fontId="0" fillId="3" borderId="57" xfId="0" applyNumberFormat="1" applyFill="1" applyBorder="1" applyAlignment="1">
      <alignment horizontal="left" wrapText="1"/>
    </xf>
    <xf numFmtId="171" fontId="0" fillId="3" borderId="61" xfId="0" applyNumberFormat="1" applyFill="1" applyBorder="1" applyAlignment="1">
      <alignment horizontal="left" wrapText="1"/>
    </xf>
    <xf numFmtId="0" fontId="0" fillId="0" borderId="28" xfId="0" applyBorder="1"/>
    <xf numFmtId="171" fontId="0" fillId="3" borderId="101" xfId="0" applyNumberFormat="1" applyFill="1" applyBorder="1" applyAlignment="1">
      <alignment horizontal="left" wrapText="1"/>
    </xf>
    <xf numFmtId="0" fontId="0" fillId="0" borderId="97" xfId="0" applyBorder="1"/>
    <xf numFmtId="0" fontId="0" fillId="3" borderId="98" xfId="0" applyFill="1" applyBorder="1" applyAlignment="1">
      <alignment horizontal="center" vertical="center"/>
    </xf>
    <xf numFmtId="0" fontId="0" fillId="0" borderId="62" xfId="9" applyNumberFormat="1" applyFont="1" applyBorder="1"/>
    <xf numFmtId="0" fontId="1" fillId="0" borderId="92" xfId="9" applyNumberFormat="1" applyFont="1" applyBorder="1"/>
    <xf numFmtId="0" fontId="11" fillId="7" borderId="64" xfId="0" applyFont="1" applyFill="1" applyBorder="1" applyAlignment="1">
      <alignment horizontal="center" vertical="center"/>
    </xf>
    <xf numFmtId="0" fontId="11" fillId="7" borderId="94" xfId="0" applyFont="1" applyFill="1" applyBorder="1" applyAlignment="1">
      <alignment horizontal="center" vertical="center"/>
    </xf>
    <xf numFmtId="0" fontId="11" fillId="7" borderId="65" xfId="0" applyFont="1" applyFill="1" applyBorder="1" applyAlignment="1">
      <alignment horizontal="center" vertical="center"/>
    </xf>
    <xf numFmtId="171" fontId="0" fillId="0" borderId="12" xfId="0" applyNumberFormat="1" applyBorder="1" applyAlignment="1">
      <alignment horizontal="center"/>
    </xf>
    <xf numFmtId="0" fontId="0" fillId="0" borderId="57" xfId="0" applyBorder="1" applyAlignment="1">
      <alignment vertical="center"/>
    </xf>
    <xf numFmtId="0" fontId="0" fillId="0" borderId="58" xfId="0" applyBorder="1" applyAlignment="1">
      <alignment horizontal="center"/>
    </xf>
    <xf numFmtId="0" fontId="0" fillId="0" borderId="62" xfId="0" applyBorder="1" applyAlignment="1">
      <alignment horizontal="center"/>
    </xf>
    <xf numFmtId="0" fontId="0" fillId="0" borderId="65" xfId="0" applyBorder="1" applyAlignment="1">
      <alignment horizontal="center"/>
    </xf>
    <xf numFmtId="171" fontId="0" fillId="3" borderId="64" xfId="0" applyNumberFormat="1" applyFill="1" applyBorder="1" applyAlignment="1">
      <alignment horizontal="left" wrapText="1"/>
    </xf>
    <xf numFmtId="171" fontId="0" fillId="2" borderId="106" xfId="0" applyNumberFormat="1" applyFill="1" applyBorder="1" applyAlignment="1">
      <alignment horizontal="center"/>
    </xf>
    <xf numFmtId="171" fontId="0" fillId="9" borderId="101" xfId="0" applyNumberFormat="1" applyFill="1" applyBorder="1" applyAlignment="1">
      <alignment horizontal="center"/>
    </xf>
    <xf numFmtId="171" fontId="0" fillId="9" borderId="61" xfId="0" applyNumberFormat="1" applyFill="1" applyBorder="1" applyAlignment="1">
      <alignment horizontal="center"/>
    </xf>
    <xf numFmtId="171" fontId="0" fillId="9" borderId="88" xfId="0" applyNumberFormat="1" applyFill="1" applyBorder="1" applyAlignment="1">
      <alignment horizontal="center"/>
    </xf>
    <xf numFmtId="171" fontId="0" fillId="9" borderId="28" xfId="0" applyNumberFormat="1" applyFill="1" applyBorder="1" applyAlignment="1">
      <alignment horizontal="center"/>
    </xf>
    <xf numFmtId="171" fontId="0" fillId="9" borderId="94" xfId="0" applyNumberFormat="1" applyFill="1" applyBorder="1" applyAlignment="1">
      <alignment horizontal="center"/>
    </xf>
    <xf numFmtId="171" fontId="0" fillId="9" borderId="58" xfId="0" applyNumberFormat="1" applyFill="1" applyBorder="1" applyAlignment="1">
      <alignment horizontal="center"/>
    </xf>
    <xf numFmtId="171" fontId="0" fillId="9" borderId="62" xfId="0" applyNumberFormat="1" applyFill="1" applyBorder="1" applyAlignment="1">
      <alignment horizontal="center"/>
    </xf>
    <xf numFmtId="171" fontId="0" fillId="9" borderId="55" xfId="0" applyNumberFormat="1" applyFill="1" applyBorder="1" applyAlignment="1">
      <alignment horizontal="center"/>
    </xf>
    <xf numFmtId="171" fontId="0" fillId="2" borderId="55" xfId="0" applyNumberFormat="1" applyFill="1" applyBorder="1" applyAlignment="1">
      <alignment horizontal="center"/>
    </xf>
    <xf numFmtId="171" fontId="0" fillId="9" borderId="61" xfId="0" applyNumberFormat="1" applyFill="1" applyBorder="1"/>
    <xf numFmtId="171" fontId="0" fillId="9" borderId="64" xfId="0" applyNumberFormat="1" applyFill="1" applyBorder="1"/>
    <xf numFmtId="171" fontId="0" fillId="9" borderId="28" xfId="0" applyNumberFormat="1" applyFill="1" applyBorder="1"/>
    <xf numFmtId="171" fontId="0" fillId="9" borderId="62" xfId="0" applyNumberFormat="1" applyFill="1" applyBorder="1"/>
    <xf numFmtId="171" fontId="0" fillId="9" borderId="94" xfId="0" applyNumberFormat="1" applyFill="1" applyBorder="1"/>
    <xf numFmtId="171" fontId="0" fillId="9" borderId="65" xfId="0" applyNumberFormat="1" applyFill="1" applyBorder="1"/>
    <xf numFmtId="171" fontId="0" fillId="9" borderId="57" xfId="0" applyNumberFormat="1" applyFill="1" applyBorder="1" applyAlignment="1">
      <alignment horizontal="center"/>
    </xf>
    <xf numFmtId="171" fontId="0" fillId="9" borderId="64" xfId="0" applyNumberFormat="1" applyFill="1" applyBorder="1" applyAlignment="1">
      <alignment horizontal="center"/>
    </xf>
    <xf numFmtId="171" fontId="0" fillId="9" borderId="57" xfId="0" applyNumberFormat="1" applyFill="1" applyBorder="1"/>
    <xf numFmtId="171" fontId="0" fillId="9" borderId="88" xfId="0" applyNumberFormat="1" applyFill="1" applyBorder="1"/>
    <xf numFmtId="171" fontId="0" fillId="2" borderId="88" xfId="0" applyNumberFormat="1" applyFill="1" applyBorder="1" applyAlignment="1">
      <alignment horizontal="center"/>
    </xf>
    <xf numFmtId="0" fontId="0" fillId="3" borderId="12" xfId="0" applyFill="1" applyBorder="1" applyAlignment="1">
      <alignment horizontal="center" vertical="center"/>
    </xf>
    <xf numFmtId="0" fontId="10" fillId="3" borderId="12" xfId="0" applyFont="1" applyFill="1" applyBorder="1" applyAlignment="1">
      <alignment horizontal="center"/>
    </xf>
    <xf numFmtId="0" fontId="0" fillId="0" borderId="93" xfId="0" applyBorder="1" applyAlignment="1">
      <alignment horizontal="center"/>
    </xf>
    <xf numFmtId="0" fontId="11" fillId="7" borderId="125" xfId="0" applyFont="1" applyFill="1" applyBorder="1" applyAlignment="1">
      <alignment horizontal="center"/>
    </xf>
    <xf numFmtId="0" fontId="11" fillId="7" borderId="118" xfId="0" applyFont="1" applyFill="1" applyBorder="1" applyAlignment="1">
      <alignment horizontal="center"/>
    </xf>
    <xf numFmtId="0" fontId="11" fillId="7" borderId="51" xfId="0" applyFont="1" applyFill="1" applyBorder="1" applyAlignment="1">
      <alignment horizontal="center"/>
    </xf>
    <xf numFmtId="9" fontId="11" fillId="7" borderId="58" xfId="0" applyNumberFormat="1" applyFont="1" applyFill="1" applyBorder="1" applyAlignment="1">
      <alignment horizontal="center"/>
    </xf>
    <xf numFmtId="175" fontId="11" fillId="7" borderId="62" xfId="0" applyNumberFormat="1" applyFont="1" applyFill="1" applyBorder="1" applyAlignment="1">
      <alignment horizontal="center"/>
    </xf>
    <xf numFmtId="9" fontId="11" fillId="7" borderId="65" xfId="0" applyNumberFormat="1" applyFont="1" applyFill="1" applyBorder="1" applyAlignment="1">
      <alignment horizontal="center"/>
    </xf>
    <xf numFmtId="0" fontId="0" fillId="2" borderId="28" xfId="0" applyFill="1" applyBorder="1" applyAlignment="1">
      <alignment horizontal="center" vertical="center"/>
    </xf>
    <xf numFmtId="0" fontId="0" fillId="3" borderId="126" xfId="0" applyFill="1" applyBorder="1" applyAlignment="1">
      <alignment horizontal="left" vertical="center" wrapText="1"/>
    </xf>
    <xf numFmtId="0" fontId="0" fillId="3" borderId="70" xfId="0" applyFill="1" applyBorder="1" applyAlignment="1">
      <alignment horizontal="left" vertical="center" wrapText="1"/>
    </xf>
    <xf numFmtId="0" fontId="0" fillId="3" borderId="12" xfId="0" applyFill="1" applyBorder="1" applyAlignment="1">
      <alignment horizontal="left" vertical="center" wrapText="1"/>
    </xf>
    <xf numFmtId="0" fontId="0" fillId="3" borderId="97" xfId="0" applyFill="1" applyBorder="1" applyAlignment="1">
      <alignment horizontal="left" vertical="center" wrapText="1"/>
    </xf>
    <xf numFmtId="0" fontId="0" fillId="3" borderId="63" xfId="0" applyFill="1" applyBorder="1" applyAlignment="1">
      <alignment horizontal="left" vertical="center" wrapText="1"/>
    </xf>
    <xf numFmtId="0" fontId="0" fillId="3" borderId="28" xfId="0" applyFill="1" applyBorder="1" applyAlignment="1">
      <alignment horizontal="left" vertical="center" wrapText="1"/>
    </xf>
    <xf numFmtId="0" fontId="0" fillId="0" borderId="28" xfId="0" applyBorder="1" applyAlignment="1">
      <alignment vertical="center" wrapText="1"/>
    </xf>
    <xf numFmtId="0" fontId="0" fillId="3" borderId="93" xfId="0" applyFill="1" applyBorder="1" applyAlignment="1">
      <alignment horizontal="left" vertical="center" wrapText="1"/>
    </xf>
    <xf numFmtId="0" fontId="0" fillId="3" borderId="94" xfId="0" applyFill="1" applyBorder="1" applyAlignment="1">
      <alignment horizontal="left" vertical="center" wrapText="1"/>
    </xf>
    <xf numFmtId="0" fontId="11" fillId="7" borderId="94" xfId="0" applyFont="1" applyFill="1" applyBorder="1" applyAlignment="1">
      <alignment horizontal="center" vertical="center" wrapText="1"/>
    </xf>
    <xf numFmtId="0" fontId="0" fillId="3" borderId="4"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10" fontId="0" fillId="3" borderId="28" xfId="0" applyNumberFormat="1" applyFill="1" applyBorder="1" applyAlignment="1">
      <alignment horizontal="center"/>
    </xf>
    <xf numFmtId="171" fontId="0" fillId="3" borderId="28" xfId="0" applyNumberFormat="1" applyFill="1" applyBorder="1" applyAlignment="1">
      <alignment horizontal="center"/>
    </xf>
    <xf numFmtId="0" fontId="0" fillId="3" borderId="0" xfId="0" applyFill="1" applyAlignment="1">
      <alignment horizontal="center"/>
    </xf>
    <xf numFmtId="171" fontId="0" fillId="3" borderId="0" xfId="0" applyNumberFormat="1" applyFill="1"/>
    <xf numFmtId="0" fontId="0" fillId="3" borderId="63" xfId="0" applyFill="1" applyBorder="1" applyAlignment="1">
      <alignment horizontal="center" vertical="center"/>
    </xf>
    <xf numFmtId="171" fontId="0" fillId="3" borderId="28" xfId="0" applyNumberFormat="1" applyFill="1" applyBorder="1" applyAlignment="1">
      <alignment horizontal="center" vertical="center"/>
    </xf>
    <xf numFmtId="0" fontId="0" fillId="2" borderId="29" xfId="0" applyFill="1" applyBorder="1"/>
    <xf numFmtId="0" fontId="0" fillId="2" borderId="63" xfId="0" applyFill="1" applyBorder="1"/>
    <xf numFmtId="171" fontId="0" fillId="2" borderId="28" xfId="0" applyNumberFormat="1" applyFill="1" applyBorder="1" applyAlignment="1">
      <alignment horizontal="center" vertical="center"/>
    </xf>
    <xf numFmtId="9" fontId="11" fillId="3" borderId="28" xfId="0" applyNumberFormat="1" applyFont="1" applyFill="1" applyBorder="1" applyAlignment="1">
      <alignment horizontal="center"/>
    </xf>
    <xf numFmtId="175" fontId="11" fillId="3" borderId="28" xfId="0" applyNumberFormat="1" applyFont="1" applyFill="1" applyBorder="1" applyAlignment="1">
      <alignment horizontal="center"/>
    </xf>
    <xf numFmtId="176" fontId="11" fillId="3" borderId="28" xfId="0" applyNumberFormat="1" applyFont="1" applyFill="1" applyBorder="1" applyAlignment="1">
      <alignment horizontal="center"/>
    </xf>
    <xf numFmtId="0" fontId="0" fillId="3" borderId="9" xfId="0" applyFill="1" applyBorder="1"/>
    <xf numFmtId="0" fontId="0" fillId="3" borderId="10" xfId="0" applyFill="1" applyBorder="1"/>
    <xf numFmtId="0" fontId="0" fillId="3" borderId="11" xfId="0" applyFill="1" applyBorder="1"/>
    <xf numFmtId="0" fontId="0" fillId="3" borderId="67" xfId="0" applyFill="1" applyBorder="1" applyAlignment="1">
      <alignment horizontal="left" vertical="center" wrapText="1"/>
    </xf>
    <xf numFmtId="0" fontId="0" fillId="0" borderId="16" xfId="0" applyBorder="1"/>
    <xf numFmtId="0" fontId="0" fillId="3" borderId="97" xfId="0" applyFill="1" applyBorder="1" applyAlignment="1">
      <alignment horizontal="left"/>
    </xf>
    <xf numFmtId="2" fontId="0" fillId="3" borderId="28" xfId="0" applyNumberFormat="1" applyFill="1" applyBorder="1" applyAlignment="1">
      <alignment horizontal="left"/>
    </xf>
    <xf numFmtId="0" fontId="0" fillId="3" borderId="61" xfId="0" applyFill="1" applyBorder="1" applyAlignment="1">
      <alignment horizontal="left" vertical="center" wrapText="1"/>
    </xf>
    <xf numFmtId="0" fontId="0" fillId="3" borderId="2" xfId="0" applyFill="1" applyBorder="1" applyAlignment="1">
      <alignment horizontal="left" vertical="center" wrapText="1"/>
    </xf>
    <xf numFmtId="0" fontId="0" fillId="3" borderId="56" xfId="0" applyFill="1" applyBorder="1" applyAlignment="1">
      <alignment horizontal="left" vertical="center" wrapText="1"/>
    </xf>
    <xf numFmtId="0" fontId="0" fillId="0" borderId="97" xfId="0" applyBorder="1" applyAlignment="1">
      <alignment vertical="center" wrapText="1"/>
    </xf>
    <xf numFmtId="0" fontId="0" fillId="9" borderId="61" xfId="0" applyFill="1" applyBorder="1" applyAlignment="1">
      <alignment horizontal="left" vertical="center" wrapText="1"/>
    </xf>
    <xf numFmtId="0" fontId="0" fillId="9" borderId="28" xfId="0" applyFill="1" applyBorder="1" applyAlignment="1">
      <alignment horizontal="left" vertical="center" wrapText="1"/>
    </xf>
    <xf numFmtId="0" fontId="0" fillId="9" borderId="28" xfId="0" applyFill="1" applyBorder="1" applyAlignment="1">
      <alignment horizontal="center" vertical="center"/>
    </xf>
    <xf numFmtId="0" fontId="11" fillId="7" borderId="64" xfId="0" applyFont="1" applyFill="1" applyBorder="1" applyAlignment="1">
      <alignment horizontal="center" wrapText="1"/>
    </xf>
    <xf numFmtId="0" fontId="11" fillId="7" borderId="94" xfId="0" applyFont="1" applyFill="1" applyBorder="1" applyAlignment="1">
      <alignment horizontal="center" wrapText="1"/>
    </xf>
    <xf numFmtId="0" fontId="11" fillId="7" borderId="65" xfId="0" applyFont="1" applyFill="1" applyBorder="1" applyAlignment="1">
      <alignment horizontal="center" wrapText="1"/>
    </xf>
    <xf numFmtId="0" fontId="11" fillId="7" borderId="86" xfId="0" applyFont="1" applyFill="1" applyBorder="1" applyAlignment="1">
      <alignment horizontal="center" vertical="center" wrapText="1"/>
    </xf>
    <xf numFmtId="0" fontId="11" fillId="7" borderId="119" xfId="0" applyFont="1" applyFill="1" applyBorder="1" applyAlignment="1">
      <alignment horizontal="center" vertical="center" wrapText="1"/>
    </xf>
    <xf numFmtId="0" fontId="0" fillId="3" borderId="70" xfId="0" applyFill="1" applyBorder="1" applyAlignment="1">
      <alignment horizontal="center" vertical="center" wrapText="1"/>
    </xf>
    <xf numFmtId="0" fontId="0" fillId="3" borderId="69" xfId="0" applyFill="1" applyBorder="1" applyAlignment="1">
      <alignment horizontal="center" vertical="center" wrapText="1"/>
    </xf>
    <xf numFmtId="0" fontId="11" fillId="7" borderId="90" xfId="0" applyFont="1" applyFill="1" applyBorder="1" applyAlignment="1">
      <alignment horizontal="center" vertical="center" wrapText="1"/>
    </xf>
    <xf numFmtId="0" fontId="0" fillId="3" borderId="28" xfId="0" applyFill="1" applyBorder="1" applyAlignment="1">
      <alignment horizontal="center" vertical="center" wrapText="1"/>
    </xf>
    <xf numFmtId="0" fontId="0" fillId="3" borderId="62" xfId="0" applyFill="1" applyBorder="1" applyAlignment="1">
      <alignment horizontal="center" vertical="center" wrapText="1"/>
    </xf>
    <xf numFmtId="0" fontId="11" fillId="7" borderId="117" xfId="0" applyFont="1" applyFill="1" applyBorder="1" applyAlignment="1">
      <alignment horizontal="center" vertical="center" wrapText="1"/>
    </xf>
    <xf numFmtId="0" fontId="0" fillId="3" borderId="97" xfId="0" applyFill="1" applyBorder="1" applyAlignment="1">
      <alignment horizontal="center" vertical="center" wrapText="1"/>
    </xf>
    <xf numFmtId="0" fontId="0" fillId="3" borderId="98" xfId="0" applyFill="1" applyBorder="1" applyAlignment="1">
      <alignment horizontal="center" vertical="center" wrapText="1"/>
    </xf>
    <xf numFmtId="0" fontId="0" fillId="3" borderId="56" xfId="0" applyFill="1" applyBorder="1" applyAlignment="1">
      <alignment horizontal="center" vertical="center" wrapText="1"/>
    </xf>
    <xf numFmtId="0" fontId="0" fillId="3" borderId="55" xfId="0" applyFill="1" applyBorder="1" applyAlignment="1">
      <alignment horizontal="center" vertical="center" wrapText="1"/>
    </xf>
    <xf numFmtId="0" fontId="0" fillId="9" borderId="28" xfId="0" applyFill="1" applyBorder="1" applyAlignment="1">
      <alignment horizontal="center" vertical="center" wrapText="1"/>
    </xf>
    <xf numFmtId="0" fontId="0" fillId="9" borderId="62" xfId="0" applyFill="1" applyBorder="1" applyAlignment="1">
      <alignment horizontal="center" vertical="center" wrapText="1"/>
    </xf>
    <xf numFmtId="0" fontId="11" fillId="7" borderId="92" xfId="0" applyFont="1" applyFill="1" applyBorder="1" applyAlignment="1">
      <alignment horizontal="center" vertical="center" wrapText="1"/>
    </xf>
    <xf numFmtId="0" fontId="0" fillId="3" borderId="94" xfId="0" applyFill="1" applyBorder="1" applyAlignment="1">
      <alignment horizontal="center" vertical="center" wrapText="1"/>
    </xf>
    <xf numFmtId="0" fontId="0" fillId="3" borderId="65" xfId="0" applyFill="1" applyBorder="1" applyAlignment="1">
      <alignment horizontal="center" vertical="center" wrapText="1"/>
    </xf>
    <xf numFmtId="0" fontId="0" fillId="9" borderId="57" xfId="0" applyFill="1" applyBorder="1" applyAlignment="1">
      <alignment horizontal="left" vertical="center" wrapText="1"/>
    </xf>
    <xf numFmtId="0" fontId="0" fillId="9" borderId="88" xfId="0" applyFill="1" applyBorder="1" applyAlignment="1">
      <alignment horizontal="left" vertical="center" wrapText="1"/>
    </xf>
    <xf numFmtId="0" fontId="0" fillId="9" borderId="88" xfId="0" applyFill="1" applyBorder="1" applyAlignment="1">
      <alignment horizontal="center" vertical="center" wrapText="1"/>
    </xf>
    <xf numFmtId="0" fontId="0" fillId="9" borderId="58" xfId="0" applyFill="1" applyBorder="1" applyAlignment="1">
      <alignment horizontal="center" vertical="center" wrapText="1"/>
    </xf>
    <xf numFmtId="0" fontId="0" fillId="7" borderId="28" xfId="0" applyFill="1" applyBorder="1"/>
    <xf numFmtId="0" fontId="0" fillId="2" borderId="21" xfId="0" applyFill="1" applyBorder="1"/>
    <xf numFmtId="0" fontId="11" fillId="7" borderId="32" xfId="0" applyFont="1" applyFill="1" applyBorder="1" applyAlignment="1">
      <alignment horizontal="center"/>
    </xf>
    <xf numFmtId="0" fontId="0" fillId="7" borderId="28" xfId="0" applyFill="1" applyBorder="1" applyAlignment="1">
      <alignment horizontal="center"/>
    </xf>
    <xf numFmtId="0" fontId="0" fillId="7" borderId="97" xfId="0" applyFill="1" applyBorder="1" applyAlignment="1">
      <alignment horizontal="center"/>
    </xf>
    <xf numFmtId="0" fontId="0" fillId="7" borderId="29" xfId="0" applyFill="1" applyBorder="1" applyAlignment="1">
      <alignment vertical="center"/>
    </xf>
    <xf numFmtId="0" fontId="0" fillId="7" borderId="63" xfId="0" applyFill="1" applyBorder="1" applyAlignment="1">
      <alignment vertical="center"/>
    </xf>
    <xf numFmtId="0" fontId="0" fillId="7" borderId="29" xfId="0" applyFill="1" applyBorder="1"/>
    <xf numFmtId="0" fontId="0" fillId="7" borderId="63" xfId="0" applyFill="1" applyBorder="1"/>
    <xf numFmtId="171" fontId="0" fillId="9" borderId="28" xfId="0" applyNumberFormat="1" applyFill="1" applyBorder="1" applyAlignment="1">
      <alignment horizontal="center" vertical="center"/>
    </xf>
    <xf numFmtId="171" fontId="11" fillId="9" borderId="28" xfId="0" applyNumberFormat="1" applyFont="1" applyFill="1" applyBorder="1" applyAlignment="1">
      <alignment horizontal="center" vertical="center"/>
    </xf>
    <xf numFmtId="2" fontId="11" fillId="9" borderId="28" xfId="0" applyNumberFormat="1" applyFont="1" applyFill="1" applyBorder="1" applyAlignment="1">
      <alignment horizontal="center"/>
    </xf>
    <xf numFmtId="171" fontId="11" fillId="7" borderId="28" xfId="0" applyNumberFormat="1" applyFont="1" applyFill="1" applyBorder="1" applyAlignment="1">
      <alignment horizontal="right"/>
    </xf>
    <xf numFmtId="167" fontId="0" fillId="2" borderId="21" xfId="0" applyNumberFormat="1" applyFill="1" applyBorder="1"/>
    <xf numFmtId="0" fontId="0" fillId="2" borderId="21" xfId="0" applyFill="1" applyBorder="1" applyAlignment="1">
      <alignment wrapText="1"/>
    </xf>
    <xf numFmtId="0" fontId="15" fillId="2" borderId="21" xfId="0" applyFont="1" applyFill="1" applyBorder="1" applyAlignment="1">
      <alignment horizontal="center" vertical="center" wrapText="1"/>
    </xf>
    <xf numFmtId="168" fontId="0" fillId="3" borderId="0" xfId="6" applyNumberFormat="1" applyFont="1" applyFill="1" applyBorder="1"/>
    <xf numFmtId="0" fontId="0" fillId="0" borderId="11" xfId="0" applyBorder="1"/>
    <xf numFmtId="171" fontId="11" fillId="7" borderId="57" xfId="0" applyNumberFormat="1" applyFont="1" applyFill="1" applyBorder="1" applyAlignment="1">
      <alignment horizontal="right"/>
    </xf>
    <xf numFmtId="9" fontId="11" fillId="3" borderId="58" xfId="0" applyNumberFormat="1" applyFont="1" applyFill="1" applyBorder="1" applyAlignment="1">
      <alignment horizontal="center"/>
    </xf>
    <xf numFmtId="171" fontId="11" fillId="7" borderId="61" xfId="0" applyNumberFormat="1" applyFont="1" applyFill="1" applyBorder="1" applyAlignment="1">
      <alignment horizontal="right"/>
    </xf>
    <xf numFmtId="175" fontId="11" fillId="3" borderId="62" xfId="0" applyNumberFormat="1" applyFont="1" applyFill="1" applyBorder="1" applyAlignment="1">
      <alignment horizontal="center"/>
    </xf>
    <xf numFmtId="171" fontId="11" fillId="7" borderId="64" xfId="0" applyNumberFormat="1" applyFont="1" applyFill="1" applyBorder="1" applyAlignment="1">
      <alignment horizontal="right"/>
    </xf>
    <xf numFmtId="176" fontId="11" fillId="3" borderId="65" xfId="0" applyNumberFormat="1" applyFont="1" applyFill="1" applyBorder="1" applyAlignment="1">
      <alignment horizontal="center"/>
    </xf>
    <xf numFmtId="171" fontId="11" fillId="7" borderId="101" xfId="0" applyNumberFormat="1" applyFont="1" applyFill="1" applyBorder="1"/>
    <xf numFmtId="171" fontId="11" fillId="7" borderId="61" xfId="0" applyNumberFormat="1" applyFont="1" applyFill="1" applyBorder="1"/>
    <xf numFmtId="171" fontId="11" fillId="7" borderId="64" xfId="0" applyNumberFormat="1" applyFont="1" applyFill="1" applyBorder="1"/>
    <xf numFmtId="9" fontId="11" fillId="3" borderId="98" xfId="0" applyNumberFormat="1" applyFont="1" applyFill="1" applyBorder="1" applyAlignment="1">
      <alignment horizontal="center"/>
    </xf>
    <xf numFmtId="171" fontId="11" fillId="10" borderId="28" xfId="0" applyNumberFormat="1" applyFont="1" applyFill="1" applyBorder="1" applyAlignment="1">
      <alignment horizontal="center" vertical="center"/>
    </xf>
    <xf numFmtId="171" fontId="0" fillId="10" borderId="28" xfId="0" applyNumberFormat="1" applyFill="1" applyBorder="1" applyAlignment="1">
      <alignment horizontal="center" vertical="center"/>
    </xf>
    <xf numFmtId="0" fontId="30" fillId="10" borderId="32" xfId="0" applyFont="1" applyFill="1" applyBorder="1" applyAlignment="1">
      <alignment horizontal="center"/>
    </xf>
    <xf numFmtId="0" fontId="0" fillId="3" borderId="84" xfId="0" applyFill="1" applyBorder="1" applyAlignment="1">
      <alignment horizontal="left" vertical="center"/>
    </xf>
    <xf numFmtId="167" fontId="0" fillId="3" borderId="82" xfId="0" applyNumberFormat="1" applyFill="1" applyBorder="1"/>
    <xf numFmtId="1" fontId="0" fillId="3" borderId="82" xfId="0" applyNumberFormat="1" applyFill="1" applyBorder="1" applyAlignment="1">
      <alignment horizontal="center"/>
    </xf>
    <xf numFmtId="167" fontId="0" fillId="3" borderId="82" xfId="0" applyNumberFormat="1" applyFill="1" applyBorder="1" applyAlignment="1">
      <alignment horizontal="right"/>
    </xf>
    <xf numFmtId="167" fontId="0" fillId="3" borderId="128" xfId="0" applyNumberFormat="1" applyFill="1" applyBorder="1" applyAlignment="1">
      <alignment horizontal="right"/>
    </xf>
    <xf numFmtId="171" fontId="0" fillId="3" borderId="54" xfId="0" applyNumberFormat="1" applyFill="1" applyBorder="1" applyAlignment="1">
      <alignment horizontal="left" wrapText="1"/>
    </xf>
    <xf numFmtId="0" fontId="11" fillId="3" borderId="60" xfId="0" applyFont="1" applyFill="1" applyBorder="1" applyAlignment="1">
      <alignment horizontal="center" vertical="center"/>
    </xf>
    <xf numFmtId="171" fontId="0" fillId="3" borderId="90" xfId="0" applyNumberFormat="1" applyFill="1" applyBorder="1"/>
    <xf numFmtId="0" fontId="11" fillId="3" borderId="95" xfId="0" applyFont="1" applyFill="1" applyBorder="1" applyAlignment="1">
      <alignment horizontal="center" vertical="center"/>
    </xf>
    <xf numFmtId="0" fontId="0" fillId="0" borderId="30" xfId="0" applyBorder="1"/>
    <xf numFmtId="0" fontId="0" fillId="0" borderId="31" xfId="0" applyBorder="1"/>
    <xf numFmtId="0" fontId="0" fillId="0" borderId="67" xfId="0" applyBorder="1"/>
    <xf numFmtId="0" fontId="0" fillId="0" borderId="125" xfId="0" applyBorder="1" applyAlignment="1">
      <alignment horizontal="center"/>
    </xf>
    <xf numFmtId="171" fontId="0" fillId="0" borderId="118" xfId="0" applyNumberFormat="1" applyBorder="1" applyAlignment="1">
      <alignment horizontal="center"/>
    </xf>
    <xf numFmtId="171" fontId="0" fillId="0" borderId="51" xfId="0" applyNumberFormat="1" applyBorder="1" applyAlignment="1">
      <alignment horizontal="center"/>
    </xf>
    <xf numFmtId="0" fontId="0" fillId="0" borderId="32" xfId="0" applyBorder="1" applyAlignment="1">
      <alignment horizontal="center"/>
    </xf>
    <xf numFmtId="0" fontId="0" fillId="0" borderId="57" xfId="0" applyBorder="1" applyAlignment="1">
      <alignment horizontal="center" vertical="center" wrapText="1"/>
    </xf>
    <xf numFmtId="0" fontId="0" fillId="0" borderId="88" xfId="0" applyBorder="1" applyAlignment="1">
      <alignment horizontal="center" vertical="center" wrapText="1"/>
    </xf>
    <xf numFmtId="0" fontId="0" fillId="0" borderId="58" xfId="0" applyBorder="1" applyAlignment="1">
      <alignment horizontal="center" vertical="center" wrapText="1"/>
    </xf>
    <xf numFmtId="10" fontId="0" fillId="3" borderId="61" xfId="0" applyNumberFormat="1" applyFill="1" applyBorder="1"/>
    <xf numFmtId="10" fontId="0" fillId="3" borderId="28" xfId="0" applyNumberFormat="1" applyFill="1" applyBorder="1"/>
    <xf numFmtId="10" fontId="0" fillId="3" borderId="62" xfId="0" applyNumberFormat="1" applyFill="1" applyBorder="1"/>
    <xf numFmtId="10" fontId="0" fillId="3" borderId="64" xfId="0" applyNumberFormat="1" applyFill="1" applyBorder="1"/>
    <xf numFmtId="10" fontId="0" fillId="3" borderId="94" xfId="0" applyNumberFormat="1" applyFill="1" applyBorder="1"/>
    <xf numFmtId="10" fontId="0" fillId="3" borderId="65" xfId="0" applyNumberFormat="1" applyFill="1" applyBorder="1"/>
    <xf numFmtId="167" fontId="0" fillId="0" borderId="61" xfId="0" applyNumberFormat="1" applyBorder="1"/>
    <xf numFmtId="167" fontId="0" fillId="0" borderId="28" xfId="0" applyNumberFormat="1" applyBorder="1"/>
    <xf numFmtId="167" fontId="0" fillId="0" borderId="62" xfId="0" applyNumberFormat="1" applyBorder="1"/>
    <xf numFmtId="167" fontId="0" fillId="0" borderId="54" xfId="0" applyNumberFormat="1" applyBorder="1"/>
    <xf numFmtId="167" fontId="0" fillId="0" borderId="56" xfId="0" applyNumberFormat="1" applyBorder="1"/>
    <xf numFmtId="167" fontId="0" fillId="0" borderId="55" xfId="0" applyNumberFormat="1" applyBorder="1"/>
    <xf numFmtId="0" fontId="0" fillId="9" borderId="67" xfId="0" applyFill="1" applyBorder="1"/>
    <xf numFmtId="167" fontId="0" fillId="9" borderId="64" xfId="0" applyNumberFormat="1" applyFill="1" applyBorder="1"/>
    <xf numFmtId="167" fontId="0" fillId="9" borderId="94" xfId="0" applyNumberFormat="1" applyFill="1" applyBorder="1"/>
    <xf numFmtId="167" fontId="0" fillId="9" borderId="65" xfId="0" applyNumberFormat="1" applyFill="1" applyBorder="1"/>
    <xf numFmtId="0" fontId="0" fillId="7" borderId="67" xfId="0" applyFill="1" applyBorder="1"/>
    <xf numFmtId="10" fontId="0" fillId="7" borderId="50" xfId="0" applyNumberFormat="1" applyFill="1" applyBorder="1"/>
    <xf numFmtId="0" fontId="0" fillId="0" borderId="55" xfId="9" applyNumberFormat="1" applyFont="1" applyBorder="1"/>
    <xf numFmtId="0" fontId="0" fillId="9" borderId="125" xfId="0" applyFill="1" applyBorder="1" applyAlignment="1">
      <alignment horizontal="center"/>
    </xf>
    <xf numFmtId="171" fontId="0" fillId="9" borderId="118" xfId="0" applyNumberFormat="1" applyFill="1" applyBorder="1" applyAlignment="1">
      <alignment horizontal="center"/>
    </xf>
    <xf numFmtId="171" fontId="0" fillId="9" borderId="51" xfId="0" applyNumberFormat="1" applyFill="1" applyBorder="1" applyAlignment="1">
      <alignment horizontal="center"/>
    </xf>
    <xf numFmtId="0" fontId="0" fillId="3" borderId="57" xfId="0" applyFill="1" applyBorder="1" applyAlignment="1">
      <alignment horizontal="center"/>
    </xf>
    <xf numFmtId="0" fontId="0" fillId="3" borderId="88" xfId="0" applyFill="1" applyBorder="1" applyAlignment="1">
      <alignment horizontal="center"/>
    </xf>
    <xf numFmtId="0" fontId="0" fillId="3" borderId="61" xfId="0" applyFill="1" applyBorder="1" applyAlignment="1">
      <alignment horizontal="center"/>
    </xf>
    <xf numFmtId="0" fontId="0" fillId="3" borderId="64" xfId="0" applyFill="1" applyBorder="1" applyAlignment="1">
      <alignment horizontal="center"/>
    </xf>
    <xf numFmtId="0" fontId="0" fillId="3" borderId="94" xfId="0" applyFill="1" applyBorder="1" applyAlignment="1">
      <alignment horizontal="center"/>
    </xf>
    <xf numFmtId="9" fontId="0" fillId="0" borderId="58" xfId="0" applyNumberFormat="1" applyBorder="1" applyAlignment="1">
      <alignment horizontal="center"/>
    </xf>
    <xf numFmtId="9" fontId="0" fillId="0" borderId="62" xfId="0" applyNumberFormat="1" applyBorder="1" applyAlignment="1">
      <alignment horizontal="center"/>
    </xf>
    <xf numFmtId="9" fontId="0" fillId="0" borderId="65" xfId="0" applyNumberFormat="1" applyBorder="1" applyAlignment="1">
      <alignment horizontal="center"/>
    </xf>
    <xf numFmtId="0" fontId="11" fillId="7" borderId="50" xfId="0" applyFont="1" applyFill="1" applyBorder="1" applyAlignment="1">
      <alignment horizontal="center" vertical="center"/>
    </xf>
    <xf numFmtId="0" fontId="11" fillId="7" borderId="118" xfId="0" applyFont="1" applyFill="1" applyBorder="1" applyAlignment="1">
      <alignment horizontal="center" vertical="center"/>
    </xf>
    <xf numFmtId="0" fontId="11" fillId="7" borderId="51" xfId="0" applyFont="1" applyFill="1" applyBorder="1" applyAlignment="1">
      <alignment horizontal="center" vertical="center"/>
    </xf>
    <xf numFmtId="171" fontId="0" fillId="3" borderId="0" xfId="0" applyNumberFormat="1" applyFill="1" applyAlignment="1">
      <alignment horizontal="center" vertical="center"/>
    </xf>
    <xf numFmtId="0" fontId="0" fillId="21" borderId="0" xfId="0" applyFill="1"/>
    <xf numFmtId="0" fontId="0" fillId="21" borderId="21" xfId="0" applyFill="1" applyBorder="1"/>
    <xf numFmtId="0" fontId="11" fillId="0" borderId="11" xfId="0" applyFont="1" applyBorder="1" applyAlignment="1">
      <alignment horizontal="center" vertical="center" wrapText="1"/>
    </xf>
    <xf numFmtId="0" fontId="13" fillId="0" borderId="11" xfId="0" applyFont="1" applyBorder="1" applyAlignment="1">
      <alignment horizontal="center" vertical="center" wrapText="1"/>
    </xf>
    <xf numFmtId="0" fontId="13" fillId="0" borderId="0" xfId="0" applyFont="1" applyAlignment="1">
      <alignment horizontal="center" wrapText="1"/>
    </xf>
    <xf numFmtId="0" fontId="11" fillId="0" borderId="0" xfId="0" applyFont="1" applyAlignment="1">
      <alignment horizontal="center" vertical="center" wrapText="1"/>
    </xf>
    <xf numFmtId="0" fontId="13" fillId="0" borderId="0" xfId="0" applyFont="1" applyAlignment="1">
      <alignment horizontal="center" vertical="center" wrapText="1"/>
    </xf>
    <xf numFmtId="0" fontId="13" fillId="0" borderId="0" xfId="0" applyFont="1"/>
    <xf numFmtId="0" fontId="13" fillId="0" borderId="0" xfId="0" applyFont="1" applyAlignment="1">
      <alignment vertical="center" wrapText="1"/>
    </xf>
    <xf numFmtId="0" fontId="13" fillId="0" borderId="0" xfId="0" applyFont="1" applyAlignment="1">
      <alignment textRotation="90" wrapText="1"/>
    </xf>
    <xf numFmtId="0" fontId="14" fillId="4" borderId="35" xfId="0" applyFont="1" applyFill="1" applyBorder="1" applyAlignment="1">
      <alignment horizontal="center" vertical="top" wrapText="1"/>
    </xf>
    <xf numFmtId="0" fontId="14" fillId="4" borderId="33" xfId="0" applyFont="1" applyFill="1" applyBorder="1" applyAlignment="1">
      <alignment horizontal="center" vertical="top" wrapText="1"/>
    </xf>
    <xf numFmtId="0" fontId="0" fillId="4" borderId="0" xfId="0" applyFill="1"/>
    <xf numFmtId="0" fontId="9" fillId="22" borderId="47" xfId="0" applyFont="1" applyFill="1" applyBorder="1" applyAlignment="1">
      <alignment horizontal="left" vertical="top" wrapText="1"/>
    </xf>
    <xf numFmtId="0" fontId="9" fillId="22" borderId="28" xfId="0" applyFont="1" applyFill="1" applyBorder="1" applyAlignment="1">
      <alignment horizontal="left" vertical="top" wrapText="1"/>
    </xf>
    <xf numFmtId="0" fontId="13" fillId="0" borderId="32" xfId="0" applyFont="1" applyBorder="1" applyAlignment="1">
      <alignment horizontal="center" wrapText="1"/>
    </xf>
    <xf numFmtId="0" fontId="12" fillId="0" borderId="4" xfId="0" applyFont="1" applyBorder="1"/>
    <xf numFmtId="0" fontId="13" fillId="23" borderId="11" xfId="0" applyFont="1" applyFill="1" applyBorder="1" applyAlignment="1">
      <alignment horizontal="center" wrapText="1"/>
    </xf>
    <xf numFmtId="168" fontId="9" fillId="11" borderId="57" xfId="6" applyNumberFormat="1" applyFont="1" applyFill="1" applyBorder="1" applyAlignment="1"/>
    <xf numFmtId="168" fontId="9" fillId="12" borderId="57" xfId="6" applyNumberFormat="1" applyFont="1" applyFill="1" applyBorder="1" applyAlignment="1">
      <alignment wrapText="1"/>
    </xf>
    <xf numFmtId="168" fontId="9" fillId="13" borderId="57" xfId="6" applyNumberFormat="1" applyFont="1" applyFill="1" applyBorder="1" applyAlignment="1"/>
    <xf numFmtId="0" fontId="21" fillId="4" borderId="26" xfId="0" applyFont="1" applyFill="1" applyBorder="1" applyAlignment="1">
      <alignment horizontal="left"/>
    </xf>
    <xf numFmtId="0" fontId="21" fillId="4" borderId="32" xfId="0" applyFont="1" applyFill="1" applyBorder="1" applyAlignment="1">
      <alignment horizontal="center" vertical="center"/>
    </xf>
    <xf numFmtId="0" fontId="21" fillId="4" borderId="27" xfId="0" applyFont="1" applyFill="1" applyBorder="1" applyAlignment="1">
      <alignment horizontal="left"/>
    </xf>
    <xf numFmtId="0" fontId="21" fillId="4" borderId="71" xfId="0" applyFont="1" applyFill="1" applyBorder="1" applyAlignment="1">
      <alignment horizontal="left"/>
    </xf>
    <xf numFmtId="0" fontId="5" fillId="0" borderId="1" xfId="0" applyFont="1" applyBorder="1"/>
    <xf numFmtId="0" fontId="5" fillId="0" borderId="3" xfId="0" applyFont="1" applyBorder="1"/>
    <xf numFmtId="0" fontId="5" fillId="0" borderId="2" xfId="0" applyFont="1" applyBorder="1"/>
    <xf numFmtId="0" fontId="5" fillId="0" borderId="13" xfId="0" applyFont="1" applyBorder="1"/>
    <xf numFmtId="0" fontId="5" fillId="0" borderId="14" xfId="0" applyFont="1" applyBorder="1"/>
    <xf numFmtId="0" fontId="5" fillId="0" borderId="12" xfId="0" applyFont="1" applyBorder="1"/>
    <xf numFmtId="0" fontId="2" fillId="0" borderId="0" xfId="0" applyFont="1" applyAlignment="1">
      <alignment wrapText="1"/>
    </xf>
    <xf numFmtId="0" fontId="0" fillId="0" borderId="0" xfId="0" applyAlignment="1">
      <alignment wrapText="1"/>
    </xf>
    <xf numFmtId="0" fontId="0" fillId="0" borderId="8" xfId="0" applyBorder="1" applyAlignment="1">
      <alignment wrapText="1"/>
    </xf>
    <xf numFmtId="0" fontId="0" fillId="0" borderId="10" xfId="0" applyBorder="1" applyAlignment="1">
      <alignment wrapText="1"/>
    </xf>
    <xf numFmtId="0" fontId="0" fillId="0" borderId="11" xfId="0" applyBorder="1" applyAlignment="1">
      <alignment wrapText="1"/>
    </xf>
    <xf numFmtId="0" fontId="3" fillId="0" borderId="0" xfId="0" applyFont="1" applyAlignment="1">
      <alignment horizontal="center" wrapText="1"/>
    </xf>
    <xf numFmtId="0" fontId="0" fillId="0" borderId="3" xfId="0" applyBorder="1"/>
    <xf numFmtId="0" fontId="0" fillId="0" borderId="2" xfId="0" applyBorder="1"/>
    <xf numFmtId="0" fontId="0" fillId="0" borderId="13" xfId="0" applyBorder="1"/>
    <xf numFmtId="0" fontId="0" fillId="0" borderId="14" xfId="0" applyBorder="1"/>
    <xf numFmtId="0" fontId="0" fillId="0" borderId="12" xfId="0" applyBorder="1"/>
    <xf numFmtId="0" fontId="6" fillId="0" borderId="15" xfId="0" applyFont="1" applyBorder="1" applyAlignment="1">
      <alignment horizontal="center" wrapText="1"/>
    </xf>
    <xf numFmtId="0" fontId="6" fillId="0" borderId="16" xfId="0" applyFont="1" applyBorder="1" applyAlignment="1">
      <alignment horizontal="center" wrapText="1"/>
    </xf>
    <xf numFmtId="0" fontId="6" fillId="0" borderId="17" xfId="0" applyFont="1" applyBorder="1" applyAlignment="1">
      <alignment horizontal="center" wrapText="1"/>
    </xf>
    <xf numFmtId="0" fontId="6" fillId="0" borderId="20" xfId="0" applyFont="1" applyBorder="1" applyAlignment="1">
      <alignment horizontal="center" wrapText="1"/>
    </xf>
    <xf numFmtId="0" fontId="6" fillId="0" borderId="21" xfId="0" applyFont="1" applyBorder="1" applyAlignment="1">
      <alignment horizontal="center" wrapText="1"/>
    </xf>
    <xf numFmtId="0" fontId="6" fillId="0" borderId="22" xfId="0" applyFont="1" applyBorder="1" applyAlignment="1">
      <alignment horizontal="center" wrapText="1"/>
    </xf>
    <xf numFmtId="0" fontId="7" fillId="21" borderId="0" xfId="0" applyFont="1" applyFill="1" applyAlignment="1">
      <alignment horizontal="center" vertical="center"/>
    </xf>
    <xf numFmtId="0" fontId="7" fillId="21" borderId="21" xfId="0" applyFont="1" applyFill="1" applyBorder="1" applyAlignment="1">
      <alignment horizontal="center" vertical="center"/>
    </xf>
    <xf numFmtId="0" fontId="13" fillId="6" borderId="4" xfId="0" applyFont="1" applyFill="1" applyBorder="1" applyAlignment="1">
      <alignment horizontal="center"/>
    </xf>
    <xf numFmtId="0" fontId="13" fillId="6" borderId="5" xfId="0" applyFont="1" applyFill="1" applyBorder="1" applyAlignment="1">
      <alignment horizontal="center"/>
    </xf>
    <xf numFmtId="0" fontId="13" fillId="6" borderId="6" xfId="0" applyFont="1" applyFill="1" applyBorder="1" applyAlignment="1">
      <alignment horizontal="center"/>
    </xf>
    <xf numFmtId="0" fontId="13" fillId="4" borderId="30" xfId="0" applyFont="1" applyFill="1" applyBorder="1" applyAlignment="1">
      <alignment horizontal="center" vertical="center" wrapText="1"/>
    </xf>
    <xf numFmtId="0" fontId="13" fillId="4" borderId="67" xfId="0" applyFont="1" applyFill="1" applyBorder="1" applyAlignment="1">
      <alignment horizontal="center" vertical="center" wrapText="1"/>
    </xf>
    <xf numFmtId="0" fontId="9" fillId="4" borderId="15" xfId="0" applyFont="1" applyFill="1" applyBorder="1" applyAlignment="1">
      <alignment horizontal="left" vertical="top" wrapText="1"/>
    </xf>
    <xf numFmtId="0" fontId="9" fillId="4" borderId="16" xfId="0" applyFont="1" applyFill="1" applyBorder="1" applyAlignment="1">
      <alignment horizontal="left" vertical="top" wrapText="1"/>
    </xf>
    <xf numFmtId="0" fontId="0" fillId="4" borderId="17" xfId="0" applyFill="1" applyBorder="1" applyAlignment="1">
      <alignment wrapText="1"/>
    </xf>
    <xf numFmtId="0" fontId="9" fillId="22" borderId="29" xfId="0" applyFont="1" applyFill="1" applyBorder="1" applyAlignment="1">
      <alignment horizontal="left" vertical="top" wrapText="1"/>
    </xf>
    <xf numFmtId="0" fontId="9" fillId="22" borderId="48" xfId="0" applyFont="1" applyFill="1" applyBorder="1" applyAlignment="1">
      <alignment horizontal="left" vertical="top" wrapText="1"/>
    </xf>
    <xf numFmtId="167" fontId="10" fillId="0" borderId="41" xfId="0" applyNumberFormat="1" applyFont="1" applyBorder="1" applyAlignment="1">
      <alignment horizontal="right"/>
    </xf>
    <xf numFmtId="167" fontId="10" fillId="0" borderId="42" xfId="0" applyNumberFormat="1" applyFont="1" applyBorder="1" applyAlignment="1">
      <alignment horizontal="right"/>
    </xf>
    <xf numFmtId="0" fontId="8" fillId="4" borderId="23" xfId="0" applyFont="1" applyFill="1" applyBorder="1" applyAlignment="1">
      <alignment horizontal="left"/>
    </xf>
    <xf numFmtId="0" fontId="0" fillId="4" borderId="24" xfId="0" applyFill="1" applyBorder="1"/>
    <xf numFmtId="0" fontId="0" fillId="4" borderId="25" xfId="0" applyFill="1" applyBorder="1"/>
    <xf numFmtId="0" fontId="10" fillId="3" borderId="23" xfId="0" applyFont="1" applyFill="1" applyBorder="1" applyAlignment="1">
      <alignment horizontal="center" vertical="center" wrapText="1"/>
    </xf>
    <xf numFmtId="0" fontId="10" fillId="0" borderId="24" xfId="0" applyFont="1" applyBorder="1" applyAlignment="1">
      <alignment wrapText="1"/>
    </xf>
    <xf numFmtId="0" fontId="10" fillId="0" borderId="25" xfId="0" applyFont="1" applyBorder="1" applyAlignment="1">
      <alignment wrapText="1"/>
    </xf>
    <xf numFmtId="167" fontId="10" fillId="3" borderId="41" xfId="0" applyNumberFormat="1" applyFont="1" applyFill="1" applyBorder="1" applyAlignment="1">
      <alignment horizontal="right" vertical="top" wrapText="1"/>
    </xf>
    <xf numFmtId="167" fontId="10" fillId="3" borderId="42" xfId="0" applyNumberFormat="1" applyFont="1" applyFill="1" applyBorder="1" applyAlignment="1">
      <alignment horizontal="right" vertical="top" wrapText="1"/>
    </xf>
    <xf numFmtId="167" fontId="10" fillId="0" borderId="40" xfId="0" applyNumberFormat="1" applyFont="1" applyBorder="1" applyAlignment="1">
      <alignment horizontal="right"/>
    </xf>
    <xf numFmtId="0" fontId="11" fillId="4" borderId="46" xfId="0" applyFont="1" applyFill="1" applyBorder="1" applyAlignment="1">
      <alignment horizontal="center" vertical="center"/>
    </xf>
    <xf numFmtId="0" fontId="11" fillId="4" borderId="44" xfId="0" applyFont="1" applyFill="1" applyBorder="1" applyAlignment="1">
      <alignment horizontal="center" vertical="center"/>
    </xf>
    <xf numFmtId="0" fontId="11" fillId="4" borderId="43" xfId="0" applyFont="1" applyFill="1" applyBorder="1" applyAlignment="1">
      <alignment horizontal="center" vertical="center"/>
    </xf>
    <xf numFmtId="0" fontId="11" fillId="4" borderId="45" xfId="0" applyFont="1" applyFill="1" applyBorder="1" applyAlignment="1">
      <alignment horizontal="center" vertical="center"/>
    </xf>
    <xf numFmtId="167" fontId="10" fillId="0" borderId="39" xfId="0" applyNumberFormat="1" applyFont="1" applyBorder="1" applyAlignment="1">
      <alignment horizontal="right"/>
    </xf>
    <xf numFmtId="0" fontId="10" fillId="0" borderId="15" xfId="0" applyFont="1" applyBorder="1" applyAlignment="1">
      <alignment wrapText="1"/>
    </xf>
    <xf numFmtId="0" fontId="10" fillId="0" borderId="16" xfId="0" applyFont="1" applyBorder="1" applyAlignment="1">
      <alignment wrapText="1"/>
    </xf>
    <xf numFmtId="0" fontId="10" fillId="0" borderId="17" xfId="0" applyFont="1" applyBorder="1" applyAlignment="1">
      <alignment wrapText="1"/>
    </xf>
    <xf numFmtId="0" fontId="10" fillId="0" borderId="20" xfId="0" applyFont="1" applyBorder="1" applyAlignment="1">
      <alignment wrapText="1"/>
    </xf>
    <xf numFmtId="0" fontId="10" fillId="0" borderId="21" xfId="0" applyFont="1" applyBorder="1" applyAlignment="1">
      <alignment wrapText="1"/>
    </xf>
    <xf numFmtId="0" fontId="10" fillId="0" borderId="22" xfId="0" applyFont="1" applyBorder="1" applyAlignment="1">
      <alignment wrapText="1"/>
    </xf>
    <xf numFmtId="0" fontId="10" fillId="3" borderId="23" xfId="0" applyFont="1" applyFill="1" applyBorder="1" applyAlignment="1">
      <alignment horizontal="left" vertical="top" wrapText="1"/>
    </xf>
    <xf numFmtId="0" fontId="10" fillId="3" borderId="24" xfId="0" applyFont="1" applyFill="1" applyBorder="1" applyAlignment="1">
      <alignment horizontal="left" vertical="top" wrapText="1"/>
    </xf>
    <xf numFmtId="167" fontId="10" fillId="3" borderId="29" xfId="0" applyNumberFormat="1" applyFont="1" applyFill="1" applyBorder="1" applyAlignment="1">
      <alignment horizontal="right" vertical="top" wrapText="1"/>
    </xf>
    <xf numFmtId="167" fontId="10" fillId="3" borderId="48" xfId="0" applyNumberFormat="1" applyFont="1" applyFill="1" applyBorder="1" applyAlignment="1">
      <alignment horizontal="right" vertical="top" wrapText="1"/>
    </xf>
    <xf numFmtId="0" fontId="5" fillId="21" borderId="0" xfId="0" applyFont="1" applyFill="1" applyAlignment="1">
      <alignment horizontal="center" vertical="center" wrapText="1"/>
    </xf>
    <xf numFmtId="0" fontId="5" fillId="21" borderId="21" xfId="0" applyFont="1" applyFill="1" applyBorder="1" applyAlignment="1">
      <alignment horizontal="center" vertical="center" wrapText="1"/>
    </xf>
    <xf numFmtId="0" fontId="9" fillId="4" borderId="33" xfId="0" applyFont="1" applyFill="1" applyBorder="1" applyAlignment="1">
      <alignment horizontal="center" vertical="center" wrapText="1"/>
    </xf>
    <xf numFmtId="0" fontId="10" fillId="4" borderId="34" xfId="0" applyFont="1" applyFill="1" applyBorder="1"/>
    <xf numFmtId="165" fontId="10" fillId="3" borderId="39" xfId="6" applyNumberFormat="1" applyFont="1" applyFill="1" applyBorder="1" applyAlignment="1">
      <alignment horizontal="right" wrapText="1"/>
    </xf>
    <xf numFmtId="0" fontId="10" fillId="0" borderId="40" xfId="0" applyFont="1" applyBorder="1" applyAlignment="1">
      <alignment horizontal="right"/>
    </xf>
    <xf numFmtId="0" fontId="9" fillId="4" borderId="43" xfId="0" applyFont="1" applyFill="1" applyBorder="1" applyAlignment="1">
      <alignment horizontal="center" vertical="center"/>
    </xf>
    <xf numFmtId="0" fontId="9" fillId="4" borderId="44" xfId="0" applyFont="1" applyFill="1" applyBorder="1" applyAlignment="1">
      <alignment horizontal="center" vertical="center"/>
    </xf>
    <xf numFmtId="0" fontId="9" fillId="4" borderId="45" xfId="0" applyFont="1" applyFill="1" applyBorder="1" applyAlignment="1">
      <alignment horizontal="center" vertical="center"/>
    </xf>
    <xf numFmtId="0" fontId="9" fillId="4" borderId="46" xfId="0" applyFont="1" applyFill="1" applyBorder="1" applyAlignment="1">
      <alignment horizontal="center" vertical="center" wrapText="1"/>
    </xf>
    <xf numFmtId="0" fontId="9" fillId="4" borderId="44" xfId="0" applyFont="1" applyFill="1" applyBorder="1" applyAlignment="1">
      <alignment horizontal="center" vertical="center" wrapText="1"/>
    </xf>
    <xf numFmtId="10" fontId="10" fillId="0" borderId="39" xfId="0" applyNumberFormat="1" applyFont="1" applyBorder="1" applyAlignment="1">
      <alignment horizontal="right"/>
    </xf>
    <xf numFmtId="10" fontId="10" fillId="0" borderId="40" xfId="0" applyNumberFormat="1" applyFont="1" applyBorder="1" applyAlignment="1">
      <alignment horizontal="right"/>
    </xf>
    <xf numFmtId="10" fontId="10" fillId="0" borderId="41" xfId="0" applyNumberFormat="1" applyFont="1" applyBorder="1" applyAlignment="1">
      <alignment horizontal="right"/>
    </xf>
    <xf numFmtId="0" fontId="21" fillId="4" borderId="4" xfId="0" applyFont="1" applyFill="1" applyBorder="1" applyAlignment="1">
      <alignment horizontal="center" vertical="center"/>
    </xf>
    <xf numFmtId="0" fontId="21" fillId="4" borderId="6" xfId="0" applyFont="1" applyFill="1" applyBorder="1" applyAlignment="1">
      <alignment horizontal="center" vertical="center"/>
    </xf>
    <xf numFmtId="0" fontId="21" fillId="4" borderId="7" xfId="0" applyFont="1" applyFill="1" applyBorder="1" applyAlignment="1">
      <alignment horizontal="center" vertical="center"/>
    </xf>
    <xf numFmtId="0" fontId="21" fillId="4" borderId="8" xfId="0" applyFont="1" applyFill="1" applyBorder="1" applyAlignment="1">
      <alignment horizontal="center" vertical="center"/>
    </xf>
    <xf numFmtId="0" fontId="21" fillId="4" borderId="9" xfId="0" applyFont="1" applyFill="1" applyBorder="1" applyAlignment="1">
      <alignment horizontal="center" vertical="center"/>
    </xf>
    <xf numFmtId="0" fontId="21" fillId="4" borderId="11" xfId="0" applyFont="1" applyFill="1" applyBorder="1" applyAlignment="1">
      <alignment horizontal="center" vertical="center"/>
    </xf>
    <xf numFmtId="0" fontId="21" fillId="4" borderId="4" xfId="0" applyFont="1" applyFill="1" applyBorder="1" applyAlignment="1">
      <alignment horizontal="center" vertical="center" wrapText="1"/>
    </xf>
    <xf numFmtId="0" fontId="21" fillId="4" borderId="6" xfId="0" applyFont="1" applyFill="1" applyBorder="1" applyAlignment="1">
      <alignment horizontal="center" vertical="center" wrapText="1"/>
    </xf>
    <xf numFmtId="0" fontId="21" fillId="4" borderId="7" xfId="0" applyFont="1" applyFill="1" applyBorder="1" applyAlignment="1">
      <alignment horizontal="center" vertical="center" wrapText="1"/>
    </xf>
    <xf numFmtId="0" fontId="21" fillId="4" borderId="8" xfId="0" applyFont="1" applyFill="1" applyBorder="1" applyAlignment="1">
      <alignment horizontal="center" vertical="center" wrapText="1"/>
    </xf>
    <xf numFmtId="0" fontId="0" fillId="4" borderId="9" xfId="0" applyFill="1" applyBorder="1" applyAlignment="1">
      <alignment horizontal="center" vertical="center"/>
    </xf>
    <xf numFmtId="0" fontId="0" fillId="4" borderId="11" xfId="0" applyFill="1" applyBorder="1" applyAlignment="1">
      <alignment horizontal="center" vertical="center"/>
    </xf>
    <xf numFmtId="0" fontId="0" fillId="4" borderId="9" xfId="0" applyFill="1" applyBorder="1"/>
    <xf numFmtId="0" fontId="0" fillId="4" borderId="11" xfId="0" applyFill="1" applyBorder="1"/>
    <xf numFmtId="0" fontId="0" fillId="4" borderId="6" xfId="0"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xf numFmtId="0" fontId="21" fillId="4" borderId="52" xfId="0" applyFont="1" applyFill="1" applyBorder="1" applyAlignment="1">
      <alignment horizontal="center" vertical="center" wrapText="1"/>
    </xf>
    <xf numFmtId="0" fontId="0" fillId="4" borderId="53" xfId="0" applyFill="1" applyBorder="1" applyAlignment="1">
      <alignment horizontal="center" vertical="center" wrapText="1"/>
    </xf>
    <xf numFmtId="0" fontId="0" fillId="4" borderId="60" xfId="0" applyFill="1" applyBorder="1" applyAlignment="1">
      <alignment horizontal="center" vertical="center" wrapText="1"/>
    </xf>
    <xf numFmtId="0" fontId="0" fillId="4" borderId="72" xfId="0" applyFill="1" applyBorder="1" applyAlignment="1">
      <alignment horizontal="center" vertical="center" wrapText="1"/>
    </xf>
    <xf numFmtId="0" fontId="0" fillId="3" borderId="12"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171" fontId="0" fillId="3" borderId="95" xfId="0" applyNumberFormat="1" applyFill="1" applyBorder="1" applyAlignment="1">
      <alignment horizontal="left" wrapText="1"/>
    </xf>
    <xf numFmtId="0" fontId="0" fillId="0" borderId="96" xfId="0" applyBorder="1"/>
    <xf numFmtId="0" fontId="0" fillId="3" borderId="102" xfId="0" applyFill="1" applyBorder="1" applyAlignment="1">
      <alignment horizontal="center" vertical="center"/>
    </xf>
    <xf numFmtId="0" fontId="0" fillId="3" borderId="103" xfId="0" applyFill="1" applyBorder="1" applyAlignment="1">
      <alignment horizontal="center" vertical="center"/>
    </xf>
    <xf numFmtId="0" fontId="0" fillId="3" borderId="104" xfId="0" applyFill="1" applyBorder="1" applyAlignment="1">
      <alignment horizontal="center" vertical="center"/>
    </xf>
    <xf numFmtId="0" fontId="0" fillId="3" borderId="127" xfId="0" applyFill="1" applyBorder="1" applyAlignment="1">
      <alignment horizontal="center" vertical="center"/>
    </xf>
    <xf numFmtId="171" fontId="0" fillId="3" borderId="60" xfId="0" applyNumberFormat="1" applyFill="1" applyBorder="1" applyAlignment="1">
      <alignment horizontal="left" wrapText="1"/>
    </xf>
    <xf numFmtId="0" fontId="0" fillId="0" borderId="72" xfId="0" applyBorder="1"/>
    <xf numFmtId="0" fontId="0" fillId="3" borderId="101" xfId="0" applyFill="1" applyBorder="1" applyAlignment="1">
      <alignment horizontal="center" vertical="center"/>
    </xf>
    <xf numFmtId="171" fontId="0" fillId="3" borderId="52" xfId="0" applyNumberFormat="1" applyFill="1" applyBorder="1" applyAlignment="1">
      <alignment horizontal="left" wrapText="1"/>
    </xf>
    <xf numFmtId="0" fontId="0" fillId="0" borderId="53" xfId="0" applyBorder="1"/>
    <xf numFmtId="0" fontId="0" fillId="3" borderId="57" xfId="0" applyFill="1" applyBorder="1" applyAlignment="1">
      <alignment horizontal="center" vertical="center"/>
    </xf>
    <xf numFmtId="0" fontId="0" fillId="3" borderId="88" xfId="0" applyFill="1" applyBorder="1" applyAlignment="1">
      <alignment horizontal="center" vertical="center"/>
    </xf>
    <xf numFmtId="0" fontId="0" fillId="3" borderId="87" xfId="0" applyFill="1" applyBorder="1" applyAlignment="1">
      <alignment horizontal="center" vertical="center"/>
    </xf>
    <xf numFmtId="0" fontId="0" fillId="3" borderId="58" xfId="0" applyFill="1" applyBorder="1" applyAlignment="1">
      <alignment horizontal="center" vertical="center"/>
    </xf>
    <xf numFmtId="0" fontId="0" fillId="3" borderId="28" xfId="0" applyFill="1" applyBorder="1" applyAlignment="1">
      <alignment horizontal="center" vertical="center"/>
    </xf>
    <xf numFmtId="0" fontId="0" fillId="2" borderId="12" xfId="0" applyFill="1" applyBorder="1" applyAlignment="1">
      <alignment horizontal="center" vertical="center"/>
    </xf>
    <xf numFmtId="0" fontId="0" fillId="2" borderId="97" xfId="0" applyFill="1" applyBorder="1" applyAlignment="1">
      <alignment horizontal="center" vertical="center"/>
    </xf>
    <xf numFmtId="0" fontId="0" fillId="3" borderId="62" xfId="0" applyFill="1" applyBorder="1" applyAlignment="1">
      <alignment horizontal="center" vertical="center"/>
    </xf>
    <xf numFmtId="0" fontId="0" fillId="2" borderId="64" xfId="0" applyFill="1" applyBorder="1" applyAlignment="1">
      <alignment horizontal="center" vertical="center"/>
    </xf>
    <xf numFmtId="0" fontId="0" fillId="2" borderId="94" xfId="0" applyFill="1" applyBorder="1" applyAlignment="1">
      <alignment horizontal="center" vertical="center"/>
    </xf>
    <xf numFmtId="0" fontId="0" fillId="3" borderId="94" xfId="0" applyFill="1" applyBorder="1" applyAlignment="1">
      <alignment horizontal="center" vertical="center"/>
    </xf>
    <xf numFmtId="0" fontId="0" fillId="3" borderId="65" xfId="0" applyFill="1" applyBorder="1" applyAlignment="1">
      <alignment horizontal="center" vertical="center"/>
    </xf>
    <xf numFmtId="0" fontId="0" fillId="3" borderId="61" xfId="0" applyFill="1" applyBorder="1" applyAlignment="1">
      <alignment horizontal="center" vertical="center"/>
    </xf>
    <xf numFmtId="0" fontId="0" fillId="2" borderId="28" xfId="0" applyFill="1" applyBorder="1" applyAlignment="1">
      <alignment horizontal="center" vertical="center"/>
    </xf>
    <xf numFmtId="0" fontId="11" fillId="10" borderId="52" xfId="0" applyFont="1" applyFill="1" applyBorder="1" applyAlignment="1">
      <alignment horizontal="center" vertical="center"/>
    </xf>
    <xf numFmtId="0" fontId="11" fillId="10" borderId="53" xfId="0" applyFont="1" applyFill="1" applyBorder="1" applyAlignment="1">
      <alignment horizontal="center" vertical="center"/>
    </xf>
    <xf numFmtId="171" fontId="0" fillId="3" borderId="99" xfId="0" applyNumberFormat="1" applyFill="1" applyBorder="1" applyAlignment="1">
      <alignment horizontal="left" wrapText="1"/>
    </xf>
    <xf numFmtId="171" fontId="0" fillId="3" borderId="100" xfId="0" applyNumberFormat="1" applyFill="1" applyBorder="1" applyAlignment="1">
      <alignment horizontal="left" wrapText="1"/>
    </xf>
    <xf numFmtId="0" fontId="0" fillId="2" borderId="87" xfId="0" applyFill="1" applyBorder="1" applyAlignment="1">
      <alignment horizontal="center" vertical="center"/>
    </xf>
    <xf numFmtId="0" fontId="0" fillId="2" borderId="88" xfId="0" applyFill="1" applyBorder="1" applyAlignment="1">
      <alignment horizontal="center" vertical="center"/>
    </xf>
    <xf numFmtId="0" fontId="0" fillId="3" borderId="52" xfId="0" applyFill="1" applyBorder="1" applyAlignment="1">
      <alignment horizontal="left" wrapText="1"/>
    </xf>
    <xf numFmtId="0" fontId="21" fillId="4" borderId="26" xfId="0" applyFont="1" applyFill="1" applyBorder="1" applyAlignment="1">
      <alignment horizontal="left"/>
    </xf>
    <xf numFmtId="0" fontId="21" fillId="4" borderId="27" xfId="0" applyFont="1" applyFill="1" applyBorder="1" applyAlignment="1">
      <alignment horizontal="left"/>
    </xf>
    <xf numFmtId="0" fontId="21" fillId="4" borderId="71" xfId="0" applyFont="1" applyFill="1" applyBorder="1" applyAlignment="1">
      <alignment horizontal="left"/>
    </xf>
    <xf numFmtId="0" fontId="22" fillId="3" borderId="26" xfId="0" applyFont="1" applyFill="1" applyBorder="1" applyAlignment="1">
      <alignment horizontal="left" vertical="top" wrapText="1"/>
    </xf>
    <xf numFmtId="0" fontId="22" fillId="3" borderId="27" xfId="0" applyFont="1" applyFill="1" applyBorder="1" applyAlignment="1">
      <alignment horizontal="left" vertical="top" wrapText="1"/>
    </xf>
    <xf numFmtId="0" fontId="22" fillId="3" borderId="71" xfId="0" applyFont="1" applyFill="1" applyBorder="1" applyAlignment="1">
      <alignment horizontal="left" vertical="top" wrapText="1"/>
    </xf>
    <xf numFmtId="0" fontId="23" fillId="4" borderId="4" xfId="0" applyFont="1" applyFill="1" applyBorder="1" applyAlignment="1">
      <alignment horizontal="center" vertical="center"/>
    </xf>
    <xf numFmtId="0" fontId="23" fillId="4" borderId="6" xfId="0" applyFont="1" applyFill="1" applyBorder="1" applyAlignment="1">
      <alignment horizontal="center" vertical="center"/>
    </xf>
    <xf numFmtId="0" fontId="23" fillId="4" borderId="9" xfId="0" applyFont="1" applyFill="1" applyBorder="1" applyAlignment="1">
      <alignment horizontal="center" vertical="center"/>
    </xf>
    <xf numFmtId="0" fontId="23" fillId="4" borderId="11" xfId="0" applyFont="1" applyFill="1" applyBorder="1" applyAlignment="1">
      <alignment horizontal="center" vertical="center"/>
    </xf>
    <xf numFmtId="0" fontId="23" fillId="4" borderId="26" xfId="0" applyFont="1" applyFill="1" applyBorder="1" applyAlignment="1">
      <alignment horizontal="center" vertical="center"/>
    </xf>
    <xf numFmtId="0" fontId="23" fillId="4" borderId="71" xfId="0" applyFont="1" applyFill="1" applyBorder="1" applyAlignment="1">
      <alignment horizontal="center" vertical="center"/>
    </xf>
    <xf numFmtId="0" fontId="23" fillId="4" borderId="26" xfId="0" applyFont="1" applyFill="1" applyBorder="1" applyAlignment="1">
      <alignment horizontal="left"/>
    </xf>
    <xf numFmtId="0" fontId="23" fillId="4" borderId="27" xfId="0" applyFont="1" applyFill="1" applyBorder="1" applyAlignment="1">
      <alignment horizontal="left"/>
    </xf>
    <xf numFmtId="0" fontId="23" fillId="4" borderId="71" xfId="0" applyFont="1" applyFill="1" applyBorder="1" applyAlignment="1">
      <alignment horizontal="left"/>
    </xf>
    <xf numFmtId="0" fontId="11" fillId="4" borderId="26" xfId="0" applyFont="1" applyFill="1" applyBorder="1" applyAlignment="1">
      <alignment horizontal="center"/>
    </xf>
    <xf numFmtId="0" fontId="0" fillId="4" borderId="71" xfId="0" applyFill="1" applyBorder="1" applyAlignment="1">
      <alignment horizontal="center"/>
    </xf>
    <xf numFmtId="0" fontId="11" fillId="4" borderId="26" xfId="0" applyFont="1" applyFill="1" applyBorder="1" applyAlignment="1">
      <alignment horizontal="center" vertical="center"/>
    </xf>
    <xf numFmtId="0" fontId="11" fillId="4" borderId="71" xfId="0" applyFont="1" applyFill="1" applyBorder="1" applyAlignment="1">
      <alignment horizontal="center" vertical="center"/>
    </xf>
    <xf numFmtId="0" fontId="0" fillId="2" borderId="29" xfId="0" applyFill="1" applyBorder="1" applyAlignment="1">
      <alignment horizontal="center" vertical="center"/>
    </xf>
    <xf numFmtId="0" fontId="0" fillId="2" borderId="63" xfId="0" applyFill="1" applyBorder="1" applyAlignment="1">
      <alignment horizontal="center" vertical="center"/>
    </xf>
    <xf numFmtId="0" fontId="0" fillId="2" borderId="65" xfId="0" applyFill="1" applyBorder="1" applyAlignment="1">
      <alignment horizontal="center" vertical="center"/>
    </xf>
    <xf numFmtId="0" fontId="0" fillId="3" borderId="64" xfId="0" applyFill="1" applyBorder="1" applyAlignment="1">
      <alignment horizontal="center" vertical="center"/>
    </xf>
    <xf numFmtId="0" fontId="0" fillId="3" borderId="93" xfId="0" applyFill="1" applyBorder="1" applyAlignment="1">
      <alignment horizontal="center" vertical="center"/>
    </xf>
    <xf numFmtId="168" fontId="9" fillId="16" borderId="50" xfId="6" applyNumberFormat="1" applyFont="1" applyFill="1" applyBorder="1" applyAlignment="1">
      <alignment horizontal="left" vertical="center" wrapText="1"/>
    </xf>
    <xf numFmtId="168" fontId="9" fillId="16" borderId="51" xfId="6" applyNumberFormat="1" applyFont="1" applyFill="1" applyBorder="1" applyAlignment="1">
      <alignment horizontal="left" vertical="center" wrapText="1"/>
    </xf>
    <xf numFmtId="0" fontId="0" fillId="3" borderId="29" xfId="0" applyFill="1" applyBorder="1" applyAlignment="1">
      <alignment horizontal="center" vertical="center"/>
    </xf>
    <xf numFmtId="0" fontId="0" fillId="3" borderId="72" xfId="0" applyFill="1" applyBorder="1" applyAlignment="1">
      <alignment horizontal="center" vertical="center"/>
    </xf>
    <xf numFmtId="171" fontId="0" fillId="3" borderId="72" xfId="0" applyNumberFormat="1" applyFill="1" applyBorder="1" applyAlignment="1">
      <alignment horizontal="left" wrapText="1"/>
    </xf>
    <xf numFmtId="0" fontId="0" fillId="3" borderId="60" xfId="0" applyFill="1" applyBorder="1" applyAlignment="1">
      <alignment horizontal="center" vertical="center"/>
    </xf>
    <xf numFmtId="0" fontId="0" fillId="3" borderId="63" xfId="0" applyFill="1" applyBorder="1" applyAlignment="1">
      <alignment horizontal="center" vertical="center"/>
    </xf>
    <xf numFmtId="0" fontId="0" fillId="2" borderId="60" xfId="0" applyFill="1" applyBorder="1" applyAlignment="1">
      <alignment horizontal="center" vertical="center"/>
    </xf>
    <xf numFmtId="0" fontId="0" fillId="3" borderId="66" xfId="0" applyFill="1" applyBorder="1" applyAlignment="1">
      <alignment horizontal="center" vertical="center"/>
    </xf>
    <xf numFmtId="0" fontId="0" fillId="3" borderId="96" xfId="0" applyFill="1" applyBorder="1" applyAlignment="1">
      <alignment horizontal="center" vertical="center"/>
    </xf>
    <xf numFmtId="171" fontId="0" fillId="3" borderId="53" xfId="0" applyNumberFormat="1" applyFill="1" applyBorder="1" applyAlignment="1">
      <alignment horizontal="left" wrapText="1"/>
    </xf>
    <xf numFmtId="0" fontId="0" fillId="3" borderId="52" xfId="0" applyFill="1" applyBorder="1" applyAlignment="1">
      <alignment horizontal="center" vertical="center"/>
    </xf>
    <xf numFmtId="0" fontId="0" fillId="3" borderId="59" xfId="0" applyFill="1" applyBorder="1" applyAlignment="1">
      <alignment horizontal="center" vertical="center"/>
    </xf>
    <xf numFmtId="0" fontId="0" fillId="3" borderId="53" xfId="0" applyFill="1" applyBorder="1" applyAlignment="1">
      <alignment horizontal="center" vertical="center"/>
    </xf>
    <xf numFmtId="171" fontId="0" fillId="3" borderId="96" xfId="0" applyNumberFormat="1" applyFill="1" applyBorder="1" applyAlignment="1">
      <alignment horizontal="left" wrapText="1"/>
    </xf>
    <xf numFmtId="0" fontId="0" fillId="3" borderId="95" xfId="0" applyFill="1" applyBorder="1" applyAlignment="1">
      <alignment horizontal="center" vertical="center"/>
    </xf>
    <xf numFmtId="0" fontId="0" fillId="2" borderId="66" xfId="0" applyFill="1" applyBorder="1" applyAlignment="1">
      <alignment horizontal="center" vertical="center"/>
    </xf>
    <xf numFmtId="0" fontId="0" fillId="2" borderId="93" xfId="0" applyFill="1" applyBorder="1" applyAlignment="1">
      <alignment horizontal="center" vertical="center"/>
    </xf>
    <xf numFmtId="0" fontId="8" fillId="4" borderId="26" xfId="0" applyFont="1" applyFill="1" applyBorder="1" applyAlignment="1">
      <alignment horizontal="left"/>
    </xf>
    <xf numFmtId="0" fontId="8" fillId="4" borderId="27" xfId="0" applyFont="1" applyFill="1" applyBorder="1" applyAlignment="1">
      <alignment horizontal="left"/>
    </xf>
    <xf numFmtId="0" fontId="8" fillId="4" borderId="71" xfId="0" applyFont="1" applyFill="1" applyBorder="1" applyAlignment="1">
      <alignment horizontal="left"/>
    </xf>
    <xf numFmtId="168" fontId="13" fillId="10" borderId="59" xfId="6" applyNumberFormat="1" applyFont="1" applyFill="1" applyBorder="1" applyAlignment="1">
      <alignment horizontal="center" vertical="center"/>
    </xf>
    <xf numFmtId="168" fontId="13" fillId="10" borderId="29" xfId="6" applyNumberFormat="1" applyFont="1" applyFill="1" applyBorder="1" applyAlignment="1">
      <alignment horizontal="center" vertical="center"/>
    </xf>
    <xf numFmtId="168" fontId="13" fillId="10" borderId="1" xfId="6" applyNumberFormat="1" applyFont="1" applyFill="1" applyBorder="1" applyAlignment="1">
      <alignment horizontal="center" vertical="center"/>
    </xf>
    <xf numFmtId="168" fontId="13" fillId="10" borderId="52" xfId="6" applyNumberFormat="1" applyFont="1" applyFill="1" applyBorder="1" applyAlignment="1">
      <alignment horizontal="center" vertical="center"/>
    </xf>
    <xf numFmtId="168" fontId="13" fillId="10" borderId="53" xfId="6" applyNumberFormat="1" applyFont="1" applyFill="1" applyBorder="1" applyAlignment="1">
      <alignment horizontal="center" vertical="center"/>
    </xf>
    <xf numFmtId="168" fontId="13" fillId="10" borderId="54" xfId="6" applyNumberFormat="1" applyFont="1" applyFill="1" applyBorder="1" applyAlignment="1">
      <alignment horizontal="center" vertical="center"/>
    </xf>
    <xf numFmtId="168" fontId="13" fillId="10" borderId="68" xfId="6" applyNumberFormat="1" applyFont="1" applyFill="1" applyBorder="1" applyAlignment="1">
      <alignment horizontal="center" vertical="center"/>
    </xf>
    <xf numFmtId="168" fontId="13" fillId="10" borderId="55" xfId="6" applyNumberFormat="1" applyFont="1" applyFill="1" applyBorder="1" applyAlignment="1">
      <alignment horizontal="center" vertical="center"/>
    </xf>
    <xf numFmtId="168" fontId="13" fillId="10" borderId="69" xfId="6" applyNumberFormat="1" applyFont="1" applyFill="1" applyBorder="1" applyAlignment="1">
      <alignment horizontal="center" vertical="center"/>
    </xf>
    <xf numFmtId="9" fontId="11" fillId="9" borderId="60" xfId="7" applyFont="1" applyFill="1" applyBorder="1" applyAlignment="1">
      <alignment horizontal="center" vertical="center"/>
    </xf>
    <xf numFmtId="9" fontId="11" fillId="9" borderId="72" xfId="7" applyFont="1" applyFill="1" applyBorder="1" applyAlignment="1">
      <alignment horizontal="center" vertical="center"/>
    </xf>
    <xf numFmtId="0" fontId="9" fillId="2" borderId="57" xfId="0" applyFont="1" applyFill="1" applyBorder="1" applyAlignment="1">
      <alignment horizontal="left"/>
    </xf>
    <xf numFmtId="0" fontId="9" fillId="2" borderId="58" xfId="0" applyFont="1" applyFill="1" applyBorder="1" applyAlignment="1">
      <alignment horizontal="left"/>
    </xf>
    <xf numFmtId="168" fontId="9" fillId="11" borderId="61" xfId="6" applyNumberFormat="1" applyFont="1" applyFill="1" applyBorder="1" applyAlignment="1">
      <alignment horizontal="left"/>
    </xf>
    <xf numFmtId="168" fontId="9" fillId="11" borderId="62" xfId="6" applyNumberFormat="1" applyFont="1" applyFill="1" applyBorder="1" applyAlignment="1">
      <alignment horizontal="left"/>
    </xf>
    <xf numFmtId="168" fontId="9" fillId="12" borderId="64" xfId="6" applyNumberFormat="1" applyFont="1" applyFill="1" applyBorder="1" applyAlignment="1">
      <alignment horizontal="left"/>
    </xf>
    <xf numFmtId="168" fontId="9" fillId="12" borderId="65" xfId="6" applyNumberFormat="1" applyFont="1" applyFill="1" applyBorder="1" applyAlignment="1">
      <alignment horizontal="left"/>
    </xf>
    <xf numFmtId="168" fontId="9" fillId="13" borderId="50" xfId="6" applyNumberFormat="1" applyFont="1" applyFill="1" applyBorder="1" applyAlignment="1">
      <alignment horizontal="left" wrapText="1"/>
    </xf>
    <xf numFmtId="168" fontId="9" fillId="13" borderId="51" xfId="6" applyNumberFormat="1" applyFont="1" applyFill="1" applyBorder="1" applyAlignment="1">
      <alignment horizontal="left" wrapText="1"/>
    </xf>
    <xf numFmtId="0" fontId="0" fillId="3" borderId="53" xfId="0" applyFill="1" applyBorder="1" applyAlignment="1">
      <alignment horizontal="left" wrapText="1"/>
    </xf>
    <xf numFmtId="0" fontId="0" fillId="0" borderId="27" xfId="0" applyBorder="1" applyAlignment="1">
      <alignment horizontal="left" vertical="top" wrapText="1"/>
    </xf>
    <xf numFmtId="0" fontId="0" fillId="0" borderId="71" xfId="0" applyBorder="1" applyAlignment="1">
      <alignment horizontal="left" vertical="top" wrapText="1"/>
    </xf>
    <xf numFmtId="0" fontId="23" fillId="3" borderId="26" xfId="0" applyFont="1" applyFill="1" applyBorder="1" applyAlignment="1">
      <alignment horizontal="center" vertical="center"/>
    </xf>
    <xf numFmtId="0" fontId="23" fillId="3" borderId="71" xfId="0" applyFont="1" applyFill="1" applyBorder="1" applyAlignment="1">
      <alignment horizontal="center" vertical="center"/>
    </xf>
    <xf numFmtId="0" fontId="5" fillId="21" borderId="21" xfId="0" applyFont="1" applyFill="1" applyBorder="1" applyAlignment="1">
      <alignment horizontal="center" vertical="center"/>
    </xf>
    <xf numFmtId="0" fontId="9" fillId="5" borderId="29" xfId="0" applyFont="1" applyFill="1" applyBorder="1" applyAlignment="1">
      <alignment horizontal="left" vertical="top" wrapText="1"/>
    </xf>
    <xf numFmtId="0" fontId="9" fillId="5" borderId="48" xfId="0" applyFont="1" applyFill="1" applyBorder="1" applyAlignment="1">
      <alignment horizontal="left" vertical="top" wrapText="1"/>
    </xf>
    <xf numFmtId="166" fontId="10" fillId="3" borderId="29" xfId="0" applyNumberFormat="1" applyFont="1" applyFill="1" applyBorder="1" applyAlignment="1">
      <alignment horizontal="left" vertical="top" wrapText="1"/>
    </xf>
    <xf numFmtId="166" fontId="10" fillId="3" borderId="48" xfId="0" applyNumberFormat="1" applyFont="1" applyFill="1" applyBorder="1" applyAlignment="1">
      <alignment horizontal="left" vertical="top" wrapText="1"/>
    </xf>
    <xf numFmtId="166" fontId="10" fillId="3" borderId="41" xfId="0" applyNumberFormat="1" applyFont="1" applyFill="1" applyBorder="1" applyAlignment="1">
      <alignment horizontal="left" vertical="top" wrapText="1"/>
    </xf>
    <xf numFmtId="166" fontId="10" fillId="3" borderId="42" xfId="0" applyNumberFormat="1" applyFont="1" applyFill="1" applyBorder="1" applyAlignment="1">
      <alignment horizontal="left" vertical="top" wrapText="1"/>
    </xf>
    <xf numFmtId="0" fontId="0" fillId="0" borderId="15" xfId="0" applyBorder="1" applyAlignment="1">
      <alignment wrapText="1"/>
    </xf>
    <xf numFmtId="0" fontId="0" fillId="0" borderId="16"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4" xfId="0" applyBorder="1" applyAlignment="1">
      <alignment wrapText="1"/>
    </xf>
    <xf numFmtId="0" fontId="0" fillId="0" borderId="25" xfId="0" applyBorder="1" applyAlignment="1">
      <alignment wrapText="1"/>
    </xf>
    <xf numFmtId="0" fontId="0" fillId="3" borderId="7" xfId="0" applyFill="1" applyBorder="1" applyAlignment="1">
      <alignment horizontal="center" vertical="center" wrapText="1"/>
    </xf>
    <xf numFmtId="0" fontId="0" fillId="3" borderId="0" xfId="0" applyFill="1" applyAlignment="1">
      <alignment horizontal="center" vertical="center" wrapText="1"/>
    </xf>
    <xf numFmtId="0" fontId="0" fillId="3" borderId="8" xfId="0" applyFill="1" applyBorder="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8" fillId="2" borderId="23" xfId="0" applyFont="1" applyFill="1" applyBorder="1" applyAlignment="1">
      <alignment horizontal="center"/>
    </xf>
    <xf numFmtId="0" fontId="8" fillId="2" borderId="24" xfId="0" applyFont="1" applyFill="1" applyBorder="1" applyAlignment="1">
      <alignment horizontal="center"/>
    </xf>
    <xf numFmtId="0" fontId="8" fillId="2" borderId="25" xfId="0" applyFont="1" applyFill="1" applyBorder="1" applyAlignment="1">
      <alignment horizontal="center"/>
    </xf>
    <xf numFmtId="0" fontId="8" fillId="2" borderId="26" xfId="0" applyFont="1" applyFill="1" applyBorder="1" applyAlignment="1">
      <alignment horizontal="center"/>
    </xf>
    <xf numFmtId="0" fontId="8" fillId="2" borderId="27" xfId="0" applyFont="1" applyFill="1" applyBorder="1" applyAlignment="1">
      <alignment horizontal="center"/>
    </xf>
    <xf numFmtId="0" fontId="8" fillId="2" borderId="71" xfId="0" applyFont="1" applyFill="1" applyBorder="1" applyAlignment="1">
      <alignment horizontal="center"/>
    </xf>
    <xf numFmtId="0" fontId="0" fillId="3" borderId="86" xfId="0" applyFill="1" applyBorder="1" applyAlignment="1">
      <alignment horizontal="center" vertical="center" wrapText="1"/>
    </xf>
    <xf numFmtId="0" fontId="0" fillId="3" borderId="92" xfId="0" applyFill="1" applyBorder="1" applyAlignment="1">
      <alignment horizontal="center" vertical="center" wrapText="1"/>
    </xf>
    <xf numFmtId="0" fontId="8" fillId="11" borderId="26" xfId="0" applyFont="1" applyFill="1" applyBorder="1" applyAlignment="1">
      <alignment horizontal="center"/>
    </xf>
    <xf numFmtId="0" fontId="8" fillId="11" borderId="27" xfId="0" applyFont="1" applyFill="1" applyBorder="1" applyAlignment="1">
      <alignment horizontal="center"/>
    </xf>
    <xf numFmtId="0" fontId="8" fillId="11" borderId="71" xfId="0" applyFont="1" applyFill="1" applyBorder="1" applyAlignment="1">
      <alignment horizontal="center"/>
    </xf>
    <xf numFmtId="0" fontId="8" fillId="17" borderId="26" xfId="0" applyFont="1" applyFill="1" applyBorder="1" applyAlignment="1">
      <alignment horizontal="center"/>
    </xf>
    <xf numFmtId="0" fontId="8" fillId="17" borderId="27" xfId="0" applyFont="1" applyFill="1" applyBorder="1" applyAlignment="1">
      <alignment horizontal="center"/>
    </xf>
    <xf numFmtId="0" fontId="8" fillId="17" borderId="71" xfId="0" applyFont="1" applyFill="1" applyBorder="1" applyAlignment="1">
      <alignment horizontal="center"/>
    </xf>
    <xf numFmtId="0" fontId="8" fillId="4" borderId="26" xfId="0" applyFont="1" applyFill="1" applyBorder="1" applyAlignment="1">
      <alignment horizontal="center"/>
    </xf>
    <xf numFmtId="0" fontId="8" fillId="4" borderId="27" xfId="0" applyFont="1" applyFill="1" applyBorder="1" applyAlignment="1">
      <alignment horizontal="center"/>
    </xf>
    <xf numFmtId="0" fontId="8" fillId="4" borderId="71" xfId="0" applyFont="1" applyFill="1" applyBorder="1" applyAlignment="1">
      <alignment horizontal="center"/>
    </xf>
    <xf numFmtId="0" fontId="0" fillId="3" borderId="26" xfId="0" applyFill="1" applyBorder="1" applyAlignment="1">
      <alignment horizontal="center" vertical="center" wrapText="1"/>
    </xf>
    <xf numFmtId="0" fontId="0" fillId="3" borderId="27" xfId="0" applyFill="1" applyBorder="1" applyAlignment="1">
      <alignment horizontal="center" vertical="center" wrapText="1"/>
    </xf>
    <xf numFmtId="0" fontId="0" fillId="3" borderId="71" xfId="0" applyFill="1" applyBorder="1" applyAlignment="1">
      <alignment horizontal="center" vertical="center" wrapText="1"/>
    </xf>
    <xf numFmtId="0" fontId="11" fillId="2" borderId="33" xfId="0" applyFont="1" applyFill="1" applyBorder="1" applyAlignment="1">
      <alignment horizontal="center" vertical="center"/>
    </xf>
    <xf numFmtId="0" fontId="11" fillId="2" borderId="35" xfId="0" applyFont="1" applyFill="1" applyBorder="1" applyAlignment="1">
      <alignment horizontal="center" vertical="center"/>
    </xf>
    <xf numFmtId="0" fontId="9" fillId="11" borderId="77" xfId="0" applyFont="1" applyFill="1" applyBorder="1" applyAlignment="1">
      <alignment horizontal="center" vertical="center"/>
    </xf>
    <xf numFmtId="0" fontId="9" fillId="11" borderId="107"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47" xfId="0" applyFont="1" applyFill="1" applyBorder="1" applyAlignment="1">
      <alignment horizontal="center" vertical="center"/>
    </xf>
    <xf numFmtId="0" fontId="3" fillId="2" borderId="49" xfId="0" applyFont="1" applyFill="1" applyBorder="1" applyAlignment="1">
      <alignment horizontal="center" vertical="center"/>
    </xf>
    <xf numFmtId="168" fontId="9" fillId="7" borderId="39" xfId="6" applyNumberFormat="1" applyFont="1" applyFill="1" applyBorder="1" applyAlignment="1">
      <alignment horizontal="center" vertical="center" wrapText="1"/>
    </xf>
    <xf numFmtId="0" fontId="10" fillId="0" borderId="42" xfId="0" applyFont="1" applyBorder="1" applyAlignment="1">
      <alignment horizontal="center" vertical="center" wrapText="1"/>
    </xf>
    <xf numFmtId="0" fontId="9" fillId="2" borderId="15" xfId="0" applyFont="1" applyFill="1" applyBorder="1" applyAlignment="1">
      <alignment horizontal="left" vertical="top" wrapText="1"/>
    </xf>
    <xf numFmtId="0" fontId="9" fillId="2" borderId="16" xfId="0" applyFont="1" applyFill="1" applyBorder="1" applyAlignment="1">
      <alignment horizontal="left" vertical="top" wrapText="1"/>
    </xf>
    <xf numFmtId="0" fontId="18" fillId="3" borderId="47" xfId="0" applyFont="1" applyFill="1" applyBorder="1" applyAlignment="1">
      <alignment horizontal="left" vertical="top"/>
    </xf>
    <xf numFmtId="0" fontId="18" fillId="3" borderId="28" xfId="0" applyFont="1" applyFill="1" applyBorder="1" applyAlignment="1">
      <alignment horizontal="left" vertical="top"/>
    </xf>
    <xf numFmtId="0" fontId="18" fillId="3" borderId="81" xfId="0" applyFont="1" applyFill="1" applyBorder="1" applyAlignment="1">
      <alignment horizontal="left" vertical="top"/>
    </xf>
    <xf numFmtId="0" fontId="0" fillId="0" borderId="63" xfId="0" applyBorder="1" applyAlignment="1">
      <alignment horizontal="left" vertical="top"/>
    </xf>
    <xf numFmtId="0" fontId="14" fillId="3" borderId="47" xfId="0" applyFont="1" applyFill="1" applyBorder="1" applyAlignment="1">
      <alignment horizontal="left" vertical="top"/>
    </xf>
    <xf numFmtId="0" fontId="14" fillId="3" borderId="28" xfId="0" applyFont="1" applyFill="1" applyBorder="1" applyAlignment="1">
      <alignment horizontal="left" vertical="top"/>
    </xf>
    <xf numFmtId="0" fontId="0" fillId="0" borderId="39" xfId="0" applyBorder="1"/>
    <xf numFmtId="0" fontId="0" fillId="0" borderId="40" xfId="0" applyBorder="1"/>
    <xf numFmtId="0" fontId="11" fillId="2" borderId="129" xfId="0" applyFont="1" applyFill="1" applyBorder="1" applyAlignment="1">
      <alignment horizontal="center" vertical="center" wrapText="1"/>
    </xf>
    <xf numFmtId="0" fontId="0" fillId="0" borderId="130" xfId="0" applyBorder="1" applyAlignment="1">
      <alignment horizontal="center" vertical="center" wrapText="1"/>
    </xf>
    <xf numFmtId="0" fontId="11" fillId="2" borderId="80" xfId="0" applyFont="1" applyFill="1" applyBorder="1" applyAlignment="1">
      <alignment horizontal="center" vertical="center" wrapText="1"/>
    </xf>
    <xf numFmtId="0" fontId="0" fillId="0" borderId="80" xfId="0" applyBorder="1" applyAlignment="1">
      <alignment horizontal="center" vertical="center" wrapText="1"/>
    </xf>
    <xf numFmtId="0" fontId="11" fillId="9" borderId="47" xfId="0" applyFont="1" applyFill="1" applyBorder="1" applyAlignment="1">
      <alignment horizontal="center"/>
    </xf>
    <xf numFmtId="0" fontId="11" fillId="9" borderId="28" xfId="0" applyFont="1" applyFill="1" applyBorder="1" applyAlignment="1">
      <alignment horizontal="center"/>
    </xf>
    <xf numFmtId="0" fontId="11" fillId="2" borderId="80" xfId="0" applyFont="1" applyFill="1" applyBorder="1" applyAlignment="1">
      <alignment horizontal="center" vertical="center"/>
    </xf>
    <xf numFmtId="0" fontId="11" fillId="9" borderId="49" xfId="0" applyFont="1" applyFill="1" applyBorder="1" applyAlignment="1">
      <alignment horizontal="center" vertical="center"/>
    </xf>
    <xf numFmtId="0" fontId="11" fillId="9" borderId="79" xfId="0" applyFont="1" applyFill="1" applyBorder="1" applyAlignment="1">
      <alignment horizontal="center" vertical="center"/>
    </xf>
    <xf numFmtId="0" fontId="0" fillId="0" borderId="109" xfId="0" applyBorder="1" applyAlignment="1">
      <alignment wrapText="1"/>
    </xf>
    <xf numFmtId="0" fontId="0" fillId="0" borderId="110" xfId="0" applyBorder="1" applyAlignment="1">
      <alignment wrapText="1"/>
    </xf>
    <xf numFmtId="0" fontId="0" fillId="0" borderId="111" xfId="0" applyBorder="1" applyAlignment="1">
      <alignment wrapText="1"/>
    </xf>
    <xf numFmtId="0" fontId="0" fillId="0" borderId="112" xfId="0" applyBorder="1" applyAlignment="1">
      <alignment wrapText="1"/>
    </xf>
    <xf numFmtId="0" fontId="0" fillId="0" borderId="113" xfId="0" applyBorder="1" applyAlignment="1">
      <alignment wrapText="1"/>
    </xf>
    <xf numFmtId="0" fontId="0" fillId="0" borderId="114" xfId="0" applyBorder="1" applyAlignment="1">
      <alignment wrapText="1"/>
    </xf>
    <xf numFmtId="0" fontId="0" fillId="0" borderId="115" xfId="0" applyBorder="1" applyAlignment="1">
      <alignment wrapText="1"/>
    </xf>
    <xf numFmtId="0" fontId="0" fillId="0" borderId="116" xfId="0" applyBorder="1" applyAlignment="1">
      <alignment wrapText="1"/>
    </xf>
    <xf numFmtId="0" fontId="8" fillId="11" borderId="81" xfId="0" applyFont="1" applyFill="1" applyBorder="1" applyAlignment="1">
      <alignment horizontal="center"/>
    </xf>
    <xf numFmtId="0" fontId="8" fillId="11" borderId="89" xfId="0" applyFont="1" applyFill="1" applyBorder="1" applyAlignment="1">
      <alignment horizontal="center"/>
    </xf>
    <xf numFmtId="0" fontId="8" fillId="11" borderId="48" xfId="0" applyFont="1" applyFill="1" applyBorder="1" applyAlignment="1">
      <alignment horizontal="center"/>
    </xf>
    <xf numFmtId="0" fontId="8" fillId="17" borderId="81" xfId="0" applyFont="1" applyFill="1" applyBorder="1" applyAlignment="1">
      <alignment horizontal="center"/>
    </xf>
    <xf numFmtId="0" fontId="8" fillId="17" borderId="89" xfId="0" applyFont="1" applyFill="1" applyBorder="1" applyAlignment="1">
      <alignment horizontal="center"/>
    </xf>
    <xf numFmtId="0" fontId="8" fillId="17" borderId="48" xfId="0" applyFont="1" applyFill="1" applyBorder="1" applyAlignment="1">
      <alignment horizontal="center"/>
    </xf>
    <xf numFmtId="0" fontId="8" fillId="4" borderId="81" xfId="0" applyFont="1" applyFill="1" applyBorder="1" applyAlignment="1">
      <alignment horizontal="center"/>
    </xf>
    <xf numFmtId="0" fontId="8" fillId="4" borderId="89" xfId="0" applyFont="1" applyFill="1" applyBorder="1" applyAlignment="1">
      <alignment horizontal="center"/>
    </xf>
    <xf numFmtId="0" fontId="8" fillId="4" borderId="48" xfId="0" applyFont="1" applyFill="1" applyBorder="1" applyAlignment="1">
      <alignment horizontal="center"/>
    </xf>
    <xf numFmtId="0" fontId="15" fillId="2" borderId="21" xfId="0" applyFont="1" applyFill="1" applyBorder="1" applyAlignment="1">
      <alignment horizontal="center" vertical="center" wrapText="1"/>
    </xf>
    <xf numFmtId="0" fontId="8" fillId="2" borderId="50" xfId="0" applyFont="1" applyFill="1" applyBorder="1" applyAlignment="1">
      <alignment horizontal="left"/>
    </xf>
    <xf numFmtId="0" fontId="8" fillId="2" borderId="118" xfId="0" applyFont="1" applyFill="1" applyBorder="1" applyAlignment="1">
      <alignment horizontal="left"/>
    </xf>
    <xf numFmtId="0" fontId="8" fillId="2" borderId="51" xfId="0" applyFont="1" applyFill="1" applyBorder="1" applyAlignment="1">
      <alignment horizontal="left"/>
    </xf>
    <xf numFmtId="0" fontId="9" fillId="2" borderId="97" xfId="0" applyFont="1" applyFill="1" applyBorder="1" applyAlignment="1">
      <alignment horizontal="center" vertical="center"/>
    </xf>
    <xf numFmtId="0" fontId="9" fillId="2" borderId="98" xfId="0" applyFont="1" applyFill="1" applyBorder="1" applyAlignment="1">
      <alignment horizontal="center" vertical="center"/>
    </xf>
    <xf numFmtId="0" fontId="9" fillId="2" borderId="62" xfId="0" applyFont="1" applyFill="1" applyBorder="1" applyAlignment="1">
      <alignment horizontal="center" vertical="center"/>
    </xf>
    <xf numFmtId="0" fontId="9" fillId="2" borderId="101" xfId="0" applyFont="1" applyFill="1" applyBorder="1" applyAlignment="1">
      <alignment horizontal="center" vertical="center"/>
    </xf>
    <xf numFmtId="0" fontId="9" fillId="2" borderId="61" xfId="0" applyFont="1" applyFill="1" applyBorder="1" applyAlignment="1">
      <alignment horizontal="center" vertical="center"/>
    </xf>
    <xf numFmtId="0" fontId="9" fillId="2" borderId="86" xfId="0" applyFont="1" applyFill="1" applyBorder="1" applyAlignment="1">
      <alignment horizontal="center" vertical="center"/>
    </xf>
    <xf numFmtId="0" fontId="9" fillId="2" borderId="92" xfId="0" applyFont="1" applyFill="1" applyBorder="1" applyAlignment="1">
      <alignment horizontal="center" vertical="center"/>
    </xf>
    <xf numFmtId="0" fontId="9" fillId="2" borderId="12" xfId="0" applyFont="1" applyFill="1" applyBorder="1" applyAlignment="1">
      <alignment horizontal="center" vertical="center"/>
    </xf>
    <xf numFmtId="0" fontId="9" fillId="2" borderId="52" xfId="0" applyFont="1" applyFill="1" applyBorder="1" applyAlignment="1">
      <alignment horizontal="center"/>
    </xf>
    <xf numFmtId="0" fontId="9" fillId="2" borderId="85" xfId="0" applyFont="1" applyFill="1" applyBorder="1" applyAlignment="1">
      <alignment horizontal="center"/>
    </xf>
    <xf numFmtId="0" fontId="9" fillId="2" borderId="53" xfId="0" applyFont="1" applyFill="1" applyBorder="1" applyAlignment="1">
      <alignment horizontal="center"/>
    </xf>
    <xf numFmtId="0" fontId="17" fillId="19" borderId="4" xfId="2" applyFont="1" applyFill="1" applyBorder="1" applyAlignment="1">
      <alignment horizontal="center"/>
    </xf>
    <xf numFmtId="0" fontId="17" fillId="19" borderId="5" xfId="2" applyFont="1" applyFill="1" applyBorder="1" applyAlignment="1">
      <alignment horizontal="center"/>
    </xf>
    <xf numFmtId="0" fontId="17" fillId="19" borderId="6" xfId="2" applyFont="1" applyFill="1" applyBorder="1" applyAlignment="1">
      <alignment horizontal="center"/>
    </xf>
    <xf numFmtId="0" fontId="18" fillId="18" borderId="57" xfId="2" applyFont="1" applyFill="1" applyBorder="1" applyAlignment="1">
      <alignment horizontal="center" vertical="center"/>
    </xf>
    <xf numFmtId="0" fontId="18" fillId="18" borderId="64" xfId="2" applyFont="1" applyFill="1" applyBorder="1" applyAlignment="1">
      <alignment horizontal="center" vertical="center"/>
    </xf>
    <xf numFmtId="0" fontId="18" fillId="18" borderId="88" xfId="2" applyFont="1" applyFill="1" applyBorder="1" applyAlignment="1">
      <alignment horizontal="center" vertical="center"/>
    </xf>
    <xf numFmtId="0" fontId="18" fillId="18" borderId="94" xfId="2" applyFont="1" applyFill="1" applyBorder="1" applyAlignment="1">
      <alignment horizontal="center" vertical="center"/>
    </xf>
    <xf numFmtId="0" fontId="17" fillId="18" borderId="58" xfId="2" applyFont="1" applyFill="1" applyBorder="1" applyAlignment="1">
      <alignment horizontal="center" vertical="center"/>
    </xf>
    <xf numFmtId="0" fontId="17" fillId="18" borderId="65" xfId="2" applyFont="1" applyFill="1" applyBorder="1" applyAlignment="1">
      <alignment horizontal="center" vertical="center"/>
    </xf>
    <xf numFmtId="0" fontId="17" fillId="7" borderId="4" xfId="0" applyFont="1" applyFill="1" applyBorder="1" applyAlignment="1">
      <alignment horizontal="center" vertical="center"/>
    </xf>
    <xf numFmtId="0" fontId="17" fillId="7" borderId="6" xfId="0" applyFont="1" applyFill="1" applyBorder="1" applyAlignment="1">
      <alignment horizontal="center" vertical="center"/>
    </xf>
    <xf numFmtId="0" fontId="17" fillId="7" borderId="9" xfId="0" applyFont="1" applyFill="1" applyBorder="1" applyAlignment="1">
      <alignment horizontal="center" vertical="center"/>
    </xf>
    <xf numFmtId="0" fontId="17" fillId="7" borderId="11" xfId="0" applyFont="1" applyFill="1" applyBorder="1" applyAlignment="1">
      <alignment horizontal="center" vertical="center"/>
    </xf>
    <xf numFmtId="0" fontId="18" fillId="20" borderId="86" xfId="0" applyFont="1" applyFill="1" applyBorder="1" applyAlignment="1">
      <alignment horizontal="center" vertical="center"/>
    </xf>
    <xf numFmtId="0" fontId="18" fillId="20" borderId="92" xfId="0" applyFont="1" applyFill="1" applyBorder="1" applyAlignment="1">
      <alignment horizontal="center" vertical="center"/>
    </xf>
    <xf numFmtId="0" fontId="18" fillId="3" borderId="52" xfId="0" applyFont="1" applyFill="1" applyBorder="1" applyAlignment="1">
      <alignment horizontal="left" vertical="top"/>
    </xf>
    <xf numFmtId="0" fontId="18" fillId="3" borderId="53" xfId="0" applyFont="1" applyFill="1" applyBorder="1" applyAlignment="1">
      <alignment horizontal="left" vertical="top"/>
    </xf>
    <xf numFmtId="0" fontId="14" fillId="3" borderId="60" xfId="0" applyFont="1" applyFill="1" applyBorder="1" applyAlignment="1">
      <alignment horizontal="left" vertical="top"/>
    </xf>
    <xf numFmtId="0" fontId="14" fillId="3" borderId="72" xfId="0" applyFont="1" applyFill="1" applyBorder="1" applyAlignment="1">
      <alignment horizontal="left" vertical="top"/>
    </xf>
    <xf numFmtId="0" fontId="18" fillId="3" borderId="95" xfId="0" applyFont="1" applyFill="1" applyBorder="1" applyAlignment="1">
      <alignment horizontal="left" vertical="top"/>
    </xf>
    <xf numFmtId="0" fontId="18" fillId="3" borderId="96" xfId="0" applyFont="1" applyFill="1" applyBorder="1" applyAlignment="1">
      <alignment horizontal="left" vertical="top"/>
    </xf>
    <xf numFmtId="0" fontId="11" fillId="7" borderId="102" xfId="0" applyFont="1" applyFill="1" applyBorder="1" applyAlignment="1">
      <alignment horizontal="center"/>
    </xf>
    <xf numFmtId="0" fontId="11" fillId="7" borderId="103" xfId="0" applyFont="1" applyFill="1" applyBorder="1" applyAlignment="1">
      <alignment horizontal="center"/>
    </xf>
    <xf numFmtId="0" fontId="11" fillId="7" borderId="124" xfId="0" applyFont="1" applyFill="1" applyBorder="1" applyAlignment="1">
      <alignment horizontal="center"/>
    </xf>
    <xf numFmtId="0" fontId="8" fillId="2" borderId="26" xfId="0" applyFont="1" applyFill="1" applyBorder="1" applyAlignment="1">
      <alignment horizontal="left"/>
    </xf>
    <xf numFmtId="0" fontId="0" fillId="0" borderId="27" xfId="0" applyBorder="1"/>
    <xf numFmtId="0" fontId="0" fillId="0" borderId="71" xfId="0" applyBorder="1"/>
    <xf numFmtId="0" fontId="8" fillId="2" borderId="27" xfId="0" applyFont="1" applyFill="1" applyBorder="1" applyAlignment="1">
      <alignment horizontal="left"/>
    </xf>
    <xf numFmtId="0" fontId="8" fillId="2" borderId="71" xfId="0" applyFont="1" applyFill="1" applyBorder="1" applyAlignment="1">
      <alignment horizontal="left"/>
    </xf>
    <xf numFmtId="0" fontId="8" fillId="2" borderId="4" xfId="0" applyFont="1" applyFill="1" applyBorder="1" applyAlignment="1">
      <alignment horizontal="left"/>
    </xf>
    <xf numFmtId="0" fontId="8" fillId="2" borderId="5" xfId="0" applyFont="1" applyFill="1" applyBorder="1" applyAlignment="1">
      <alignment horizontal="left"/>
    </xf>
    <xf numFmtId="0" fontId="8" fillId="2" borderId="6" xfId="0" applyFont="1" applyFill="1" applyBorder="1" applyAlignment="1">
      <alignment horizontal="left"/>
    </xf>
    <xf numFmtId="0" fontId="11" fillId="7" borderId="57" xfId="0" applyFont="1" applyFill="1" applyBorder="1" applyAlignment="1">
      <alignment horizontal="center" vertical="center"/>
    </xf>
    <xf numFmtId="0" fontId="11" fillId="7" borderId="64" xfId="0" applyFont="1" applyFill="1" applyBorder="1" applyAlignment="1">
      <alignment horizontal="center" vertical="center"/>
    </xf>
    <xf numFmtId="0" fontId="11" fillId="7" borderId="88" xfId="0" applyFont="1" applyFill="1" applyBorder="1" applyAlignment="1">
      <alignment horizontal="center" vertical="center"/>
    </xf>
    <xf numFmtId="0" fontId="11" fillId="7" borderId="94" xfId="0" applyFont="1" applyFill="1" applyBorder="1" applyAlignment="1">
      <alignment horizontal="center" vertical="center"/>
    </xf>
    <xf numFmtId="0" fontId="11" fillId="7" borderId="78" xfId="0" applyFont="1" applyFill="1" applyBorder="1" applyAlignment="1">
      <alignment horizontal="center" vertical="center"/>
    </xf>
    <xf numFmtId="0" fontId="11" fillId="7" borderId="103" xfId="0" applyFont="1" applyFill="1" applyBorder="1" applyAlignment="1">
      <alignment horizontal="center" vertical="center"/>
    </xf>
    <xf numFmtId="0" fontId="11" fillId="7" borderId="59" xfId="0" applyFont="1" applyFill="1" applyBorder="1" applyAlignment="1">
      <alignment horizontal="center" vertical="center" wrapText="1"/>
    </xf>
    <xf numFmtId="0" fontId="11" fillId="7" borderId="66" xfId="0" applyFont="1" applyFill="1" applyBorder="1" applyAlignment="1">
      <alignment horizontal="center" vertical="center"/>
    </xf>
    <xf numFmtId="0" fontId="11" fillId="7" borderId="58" xfId="0" applyFont="1" applyFill="1" applyBorder="1" applyAlignment="1">
      <alignment horizontal="center" vertic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4"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9" fillId="7" borderId="50" xfId="0" applyFont="1" applyFill="1" applyBorder="1" applyAlignment="1">
      <alignment horizontal="right"/>
    </xf>
    <xf numFmtId="0" fontId="9" fillId="7" borderId="118" xfId="0" applyFont="1" applyFill="1" applyBorder="1" applyAlignment="1">
      <alignment horizontal="right"/>
    </xf>
    <xf numFmtId="0" fontId="9" fillId="7" borderId="51" xfId="0" applyFont="1" applyFill="1" applyBorder="1" applyAlignment="1">
      <alignment horizontal="right"/>
    </xf>
    <xf numFmtId="0" fontId="0" fillId="2" borderId="50" xfId="0" applyFill="1" applyBorder="1" applyAlignment="1">
      <alignment horizontal="left"/>
    </xf>
    <xf numFmtId="0" fontId="0" fillId="2" borderId="51" xfId="0" applyFill="1" applyBorder="1" applyAlignment="1">
      <alignment horizontal="left"/>
    </xf>
    <xf numFmtId="0" fontId="0" fillId="0" borderId="68" xfId="0" applyBorder="1" applyAlignment="1">
      <alignment horizontal="left"/>
    </xf>
    <xf numFmtId="0" fontId="0" fillId="0" borderId="69" xfId="0" applyBorder="1" applyAlignment="1">
      <alignment horizontal="left"/>
    </xf>
    <xf numFmtId="0" fontId="0" fillId="2" borderId="26" xfId="0" applyFill="1" applyBorder="1" applyAlignment="1">
      <alignment horizontal="left"/>
    </xf>
    <xf numFmtId="0" fontId="0" fillId="2" borderId="71" xfId="0" applyFill="1" applyBorder="1" applyAlignment="1">
      <alignment horizontal="left"/>
    </xf>
    <xf numFmtId="0" fontId="0" fillId="2" borderId="27" xfId="0" applyFill="1" applyBorder="1" applyAlignment="1">
      <alignment horizontal="left"/>
    </xf>
    <xf numFmtId="0" fontId="11" fillId="7" borderId="26" xfId="0" applyFont="1" applyFill="1" applyBorder="1" applyAlignment="1">
      <alignment horizontal="left"/>
    </xf>
    <xf numFmtId="0" fontId="0" fillId="0" borderId="71" xfId="0" applyBorder="1" applyAlignment="1">
      <alignment horizontal="left"/>
    </xf>
    <xf numFmtId="0" fontId="0" fillId="0" borderId="52" xfId="0" applyBorder="1" applyAlignment="1">
      <alignment horizontal="left" vertical="center"/>
    </xf>
    <xf numFmtId="0" fontId="0" fillId="0" borderId="53" xfId="0" applyBorder="1" applyAlignment="1">
      <alignment horizontal="left" vertical="center"/>
    </xf>
    <xf numFmtId="0" fontId="0" fillId="0" borderId="54" xfId="0" applyBorder="1" applyAlignment="1">
      <alignment horizontal="center" vertical="center"/>
    </xf>
    <xf numFmtId="0" fontId="0" fillId="0" borderId="68" xfId="0" applyBorder="1" applyAlignment="1">
      <alignment horizontal="center" vertical="center"/>
    </xf>
    <xf numFmtId="0" fontId="0" fillId="0" borderId="102" xfId="0" applyBorder="1" applyAlignment="1">
      <alignment horizontal="center" vertical="center"/>
    </xf>
    <xf numFmtId="0" fontId="0" fillId="9" borderId="26" xfId="0" applyFill="1" applyBorder="1" applyAlignment="1">
      <alignment horizontal="left"/>
    </xf>
    <xf numFmtId="0" fontId="11" fillId="2" borderId="26" xfId="0" applyFont="1" applyFill="1" applyBorder="1" applyAlignment="1">
      <alignment horizontal="center" vertical="center" wrapText="1"/>
    </xf>
    <xf numFmtId="0" fontId="11" fillId="2" borderId="27" xfId="0" applyFont="1" applyFill="1" applyBorder="1" applyAlignment="1">
      <alignment horizontal="center" vertical="center" wrapText="1"/>
    </xf>
    <xf numFmtId="0" fontId="11" fillId="2" borderId="71" xfId="0" applyFont="1" applyFill="1" applyBorder="1" applyAlignment="1">
      <alignment horizontal="center" vertical="center" wrapText="1"/>
    </xf>
    <xf numFmtId="0" fontId="0" fillId="3" borderId="4" xfId="0" applyFill="1" applyBorder="1" applyAlignment="1">
      <alignment horizontal="center" vertical="center" wrapText="1"/>
    </xf>
    <xf numFmtId="0" fontId="0" fillId="0" borderId="6" xfId="0" applyBorder="1" applyAlignment="1">
      <alignment horizontal="center" vertical="center" wrapText="1"/>
    </xf>
    <xf numFmtId="0" fontId="0" fillId="0" borderId="11" xfId="0" applyBorder="1" applyAlignment="1">
      <alignment horizontal="center" vertical="center" wrapText="1"/>
    </xf>
    <xf numFmtId="167" fontId="15" fillId="2" borderId="21" xfId="0" applyNumberFormat="1" applyFont="1" applyFill="1" applyBorder="1" applyAlignment="1">
      <alignment horizontal="center" vertical="center" wrapText="1"/>
    </xf>
    <xf numFmtId="0" fontId="0" fillId="2" borderId="21" xfId="0" applyFill="1" applyBorder="1" applyAlignment="1">
      <alignment wrapText="1"/>
    </xf>
    <xf numFmtId="0" fontId="0" fillId="0" borderId="54" xfId="0" applyBorder="1" applyAlignment="1">
      <alignment horizontal="left"/>
    </xf>
    <xf numFmtId="0" fontId="0" fillId="0" borderId="55" xfId="0" applyBorder="1" applyAlignment="1">
      <alignment horizontal="left"/>
    </xf>
    <xf numFmtId="0" fontId="8" fillId="2" borderId="26" xfId="0" applyFont="1" applyFill="1" applyBorder="1" applyAlignment="1">
      <alignment horizontal="center" wrapText="1"/>
    </xf>
    <xf numFmtId="0" fontId="8" fillId="2" borderId="27" xfId="0" applyFont="1" applyFill="1" applyBorder="1" applyAlignment="1">
      <alignment horizontal="center" wrapText="1"/>
    </xf>
    <xf numFmtId="0" fontId="8" fillId="2" borderId="71" xfId="0" applyFont="1" applyFill="1" applyBorder="1" applyAlignment="1">
      <alignment horizontal="center" wrapText="1"/>
    </xf>
    <xf numFmtId="0" fontId="13" fillId="2" borderId="29" xfId="0" applyFont="1" applyFill="1" applyBorder="1" applyAlignment="1">
      <alignment horizontal="center" vertical="center" wrapText="1"/>
    </xf>
    <xf numFmtId="0" fontId="0" fillId="2" borderId="89" xfId="0" applyFill="1" applyBorder="1" applyAlignment="1">
      <alignment horizontal="center" vertical="center" wrapText="1"/>
    </xf>
    <xf numFmtId="0" fontId="0" fillId="2" borderId="63" xfId="0" applyFill="1" applyBorder="1" applyAlignment="1">
      <alignment horizontal="center" vertical="center" wrapText="1"/>
    </xf>
    <xf numFmtId="0" fontId="0" fillId="7" borderId="56" xfId="0" applyFill="1" applyBorder="1" applyAlignment="1">
      <alignment horizontal="center" vertical="center"/>
    </xf>
    <xf numFmtId="0" fontId="0" fillId="7" borderId="70" xfId="0" applyFill="1" applyBorder="1" applyAlignment="1">
      <alignment horizontal="center" vertical="center"/>
    </xf>
    <xf numFmtId="0" fontId="0" fillId="7" borderId="97" xfId="0" applyFill="1" applyBorder="1" applyAlignment="1">
      <alignment horizontal="center" vertical="center"/>
    </xf>
    <xf numFmtId="0" fontId="0" fillId="9" borderId="29" xfId="0" applyFill="1" applyBorder="1" applyAlignment="1">
      <alignment horizontal="left"/>
    </xf>
    <xf numFmtId="0" fontId="0" fillId="9" borderId="63" xfId="0" applyFill="1" applyBorder="1" applyAlignment="1">
      <alignment horizontal="left"/>
    </xf>
    <xf numFmtId="0" fontId="11" fillId="2" borderId="26" xfId="0" applyFont="1" applyFill="1" applyBorder="1" applyAlignment="1">
      <alignment horizontal="center"/>
    </xf>
    <xf numFmtId="0" fontId="11" fillId="2" borderId="27" xfId="0" applyFont="1" applyFill="1" applyBorder="1" applyAlignment="1">
      <alignment horizontal="center"/>
    </xf>
    <xf numFmtId="0" fontId="11" fillId="2" borderId="71" xfId="0" applyFont="1" applyFill="1" applyBorder="1" applyAlignment="1">
      <alignment horizontal="center"/>
    </xf>
    <xf numFmtId="0" fontId="0" fillId="3" borderId="30" xfId="0" applyFill="1" applyBorder="1" applyAlignment="1">
      <alignment horizontal="center" vertical="center" wrapText="1"/>
    </xf>
    <xf numFmtId="0" fontId="0" fillId="3" borderId="31" xfId="0" applyFill="1" applyBorder="1" applyAlignment="1">
      <alignment horizontal="center" vertical="center" wrapText="1"/>
    </xf>
    <xf numFmtId="0" fontId="0" fillId="3" borderId="67" xfId="0" applyFill="1" applyBorder="1" applyAlignment="1">
      <alignment horizontal="center" vertical="center" wrapText="1"/>
    </xf>
    <xf numFmtId="0" fontId="11" fillId="2" borderId="29" xfId="0" applyFont="1" applyFill="1" applyBorder="1" applyAlignment="1">
      <alignment horizontal="center"/>
    </xf>
    <xf numFmtId="0" fontId="11" fillId="2" borderId="63" xfId="0" applyFont="1" applyFill="1" applyBorder="1" applyAlignment="1">
      <alignment horizontal="center"/>
    </xf>
    <xf numFmtId="0" fontId="11" fillId="2" borderId="29" xfId="0" applyFont="1" applyFill="1" applyBorder="1" applyAlignment="1">
      <alignment horizontal="center" vertical="center" wrapText="1"/>
    </xf>
    <xf numFmtId="0" fontId="0" fillId="2" borderId="89" xfId="0" applyFill="1" applyBorder="1" applyAlignment="1">
      <alignment vertical="center" wrapText="1"/>
    </xf>
    <xf numFmtId="0" fontId="0" fillId="2" borderId="63" xfId="0" applyFill="1" applyBorder="1" applyAlignment="1">
      <alignment vertical="center" wrapText="1"/>
    </xf>
    <xf numFmtId="0" fontId="0" fillId="7" borderId="29" xfId="0" applyFill="1" applyBorder="1" applyAlignment="1">
      <alignment horizontal="center"/>
    </xf>
    <xf numFmtId="0" fontId="0" fillId="0" borderId="63" xfId="0" applyBorder="1" applyAlignment="1">
      <alignment horizontal="center"/>
    </xf>
    <xf numFmtId="167" fontId="11" fillId="9" borderId="29" xfId="0" applyNumberFormat="1" applyFont="1" applyFill="1" applyBorder="1" applyAlignment="1">
      <alignment horizontal="center"/>
    </xf>
    <xf numFmtId="167" fontId="11" fillId="9" borderId="63" xfId="0" applyNumberFormat="1" applyFont="1" applyFill="1" applyBorder="1" applyAlignment="1">
      <alignment horizontal="center"/>
    </xf>
    <xf numFmtId="0" fontId="21" fillId="9" borderId="4" xfId="0" applyFont="1" applyFill="1" applyBorder="1" applyAlignment="1">
      <alignment horizontal="center" vertical="center" wrapText="1"/>
    </xf>
    <xf numFmtId="0" fontId="2" fillId="9" borderId="5" xfId="0" applyFont="1" applyFill="1" applyBorder="1" applyAlignment="1">
      <alignment horizontal="center" vertical="center" wrapText="1"/>
    </xf>
    <xf numFmtId="0" fontId="0" fillId="9" borderId="6" xfId="0" applyFill="1" applyBorder="1" applyAlignment="1">
      <alignment wrapText="1"/>
    </xf>
    <xf numFmtId="0" fontId="2" fillId="9" borderId="9" xfId="0" applyFont="1" applyFill="1" applyBorder="1" applyAlignment="1">
      <alignment horizontal="center" vertical="center" wrapText="1"/>
    </xf>
    <xf numFmtId="0" fontId="2" fillId="9" borderId="10" xfId="0" applyFont="1" applyFill="1" applyBorder="1" applyAlignment="1">
      <alignment horizontal="center" vertical="center" wrapText="1"/>
    </xf>
    <xf numFmtId="0" fontId="0" fillId="9" borderId="11" xfId="0" applyFill="1" applyBorder="1" applyAlignment="1">
      <alignment wrapText="1"/>
    </xf>
    <xf numFmtId="0" fontId="10" fillId="3" borderId="4" xfId="0" applyFont="1" applyFill="1" applyBorder="1" applyAlignment="1">
      <alignment horizontal="left" vertical="center" wrapText="1"/>
    </xf>
    <xf numFmtId="0" fontId="10" fillId="0" borderId="5" xfId="0" applyFont="1" applyBorder="1" applyAlignment="1">
      <alignment wrapText="1"/>
    </xf>
    <xf numFmtId="0" fontId="10" fillId="0" borderId="6" xfId="0" applyFont="1" applyBorder="1" applyAlignment="1">
      <alignment wrapText="1"/>
    </xf>
    <xf numFmtId="0" fontId="10" fillId="0" borderId="7" xfId="0" applyFont="1" applyBorder="1" applyAlignment="1">
      <alignment wrapText="1"/>
    </xf>
    <xf numFmtId="0" fontId="10" fillId="0" borderId="0" xfId="0" applyFont="1" applyAlignment="1">
      <alignment wrapText="1"/>
    </xf>
    <xf numFmtId="0" fontId="10" fillId="0" borderId="8" xfId="0" applyFont="1" applyBorder="1" applyAlignment="1">
      <alignment wrapText="1"/>
    </xf>
    <xf numFmtId="0" fontId="10" fillId="0" borderId="9" xfId="0" applyFont="1" applyBorder="1" applyAlignment="1">
      <alignment wrapText="1"/>
    </xf>
    <xf numFmtId="0" fontId="10" fillId="0" borderId="10" xfId="0" applyFont="1" applyBorder="1" applyAlignment="1">
      <alignment wrapText="1"/>
    </xf>
    <xf numFmtId="0" fontId="10" fillId="0" borderId="11" xfId="0" applyFont="1" applyBorder="1" applyAlignment="1">
      <alignment wrapText="1"/>
    </xf>
    <xf numFmtId="0" fontId="11" fillId="7" borderId="26" xfId="0" applyFont="1" applyFill="1" applyBorder="1" applyAlignment="1">
      <alignment horizontal="center"/>
    </xf>
    <xf numFmtId="0" fontId="11" fillId="7" borderId="71" xfId="0" applyFont="1" applyFill="1" applyBorder="1" applyAlignment="1">
      <alignment horizontal="center"/>
    </xf>
    <xf numFmtId="0" fontId="11" fillId="7" borderId="29" xfId="0" applyFont="1" applyFill="1" applyBorder="1" applyAlignment="1">
      <alignment horizontal="center"/>
    </xf>
    <xf numFmtId="0" fontId="11" fillId="7" borderId="63" xfId="0" applyFont="1" applyFill="1" applyBorder="1" applyAlignment="1">
      <alignment horizontal="center"/>
    </xf>
    <xf numFmtId="0" fontId="23" fillId="2" borderId="26" xfId="0" applyFont="1" applyFill="1" applyBorder="1" applyAlignment="1">
      <alignment horizontal="center"/>
    </xf>
    <xf numFmtId="0" fontId="23" fillId="2" borderId="27" xfId="0" applyFont="1" applyFill="1" applyBorder="1" applyAlignment="1">
      <alignment horizontal="center"/>
    </xf>
    <xf numFmtId="0" fontId="23" fillId="2" borderId="71" xfId="0" applyFont="1" applyFill="1" applyBorder="1" applyAlignment="1">
      <alignment horizontal="center"/>
    </xf>
    <xf numFmtId="0" fontId="0" fillId="3" borderId="117" xfId="0" applyFill="1" applyBorder="1" applyAlignment="1">
      <alignment horizontal="left" vertical="center" wrapText="1"/>
    </xf>
    <xf numFmtId="0" fontId="0" fillId="3" borderId="90" xfId="0" applyFill="1" applyBorder="1" applyAlignment="1">
      <alignment horizontal="left" vertical="center" wrapText="1"/>
    </xf>
    <xf numFmtId="0" fontId="0" fillId="3" borderId="119" xfId="0" applyFill="1" applyBorder="1" applyAlignment="1">
      <alignment horizontal="left" vertical="center" wrapText="1"/>
    </xf>
    <xf numFmtId="0" fontId="0" fillId="3" borderId="30" xfId="0" applyFill="1" applyBorder="1" applyAlignment="1">
      <alignment horizontal="left" vertical="top" wrapText="1"/>
    </xf>
    <xf numFmtId="0" fontId="0" fillId="0" borderId="31" xfId="0" applyBorder="1" applyAlignment="1">
      <alignment wrapText="1"/>
    </xf>
    <xf numFmtId="0" fontId="0" fillId="0" borderId="67" xfId="0" applyBorder="1" applyAlignment="1">
      <alignment wrapText="1"/>
    </xf>
    <xf numFmtId="0" fontId="0" fillId="0" borderId="26" xfId="0" applyBorder="1" applyAlignment="1">
      <alignment horizontal="left" vertical="center"/>
    </xf>
    <xf numFmtId="0" fontId="0" fillId="0" borderId="71" xfId="0" applyBorder="1" applyAlignment="1">
      <alignment horizontal="left" vertical="center"/>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71" xfId="0" applyBorder="1" applyAlignment="1">
      <alignment horizontal="center" vertical="center" wrapText="1"/>
    </xf>
    <xf numFmtId="0" fontId="22" fillId="0" borderId="26" xfId="0" applyFont="1" applyFill="1" applyBorder="1" applyAlignment="1">
      <alignment horizontal="left" vertical="top" wrapText="1"/>
    </xf>
    <xf numFmtId="0" fontId="22" fillId="0" borderId="27" xfId="0" applyFont="1" applyFill="1" applyBorder="1" applyAlignment="1">
      <alignment horizontal="left" vertical="top" wrapText="1"/>
    </xf>
    <xf numFmtId="0" fontId="22" fillId="0" borderId="71" xfId="0" applyFont="1" applyFill="1" applyBorder="1" applyAlignment="1">
      <alignment horizontal="left" vertical="top" wrapText="1"/>
    </xf>
    <xf numFmtId="0" fontId="0" fillId="4" borderId="21" xfId="0" applyFill="1" applyBorder="1"/>
    <xf numFmtId="0" fontId="5" fillId="4" borderId="21" xfId="0" applyFont="1" applyFill="1" applyBorder="1" applyAlignment="1">
      <alignment horizontal="center" vertical="center" wrapText="1"/>
    </xf>
    <xf numFmtId="0" fontId="11" fillId="4" borderId="51" xfId="0" applyFont="1" applyFill="1" applyBorder="1" applyAlignment="1">
      <alignment horizontal="center" vertical="center" wrapText="1"/>
    </xf>
    <xf numFmtId="0" fontId="11" fillId="4" borderId="50" xfId="0" applyFont="1" applyFill="1" applyBorder="1" applyAlignment="1">
      <alignment horizontal="center" vertical="center" wrapText="1"/>
    </xf>
    <xf numFmtId="0" fontId="5" fillId="4" borderId="21" xfId="0" applyFont="1" applyFill="1" applyBorder="1" applyAlignment="1">
      <alignment horizontal="center" vertical="center"/>
    </xf>
    <xf numFmtId="0" fontId="8" fillId="4" borderId="26" xfId="0" applyFont="1" applyFill="1" applyBorder="1" applyAlignment="1">
      <alignment horizontal="left" wrapText="1"/>
    </xf>
    <xf numFmtId="0" fontId="8" fillId="4" borderId="27" xfId="0" applyFont="1" applyFill="1" applyBorder="1" applyAlignment="1">
      <alignment horizontal="left" wrapText="1"/>
    </xf>
    <xf numFmtId="0" fontId="8" fillId="4" borderId="71" xfId="0" applyFont="1" applyFill="1" applyBorder="1" applyAlignment="1">
      <alignment horizontal="left" wrapText="1"/>
    </xf>
    <xf numFmtId="0" fontId="5" fillId="4" borderId="0" xfId="0" applyFont="1" applyFill="1" applyAlignment="1">
      <alignment horizontal="center" vertical="center" wrapText="1"/>
    </xf>
    <xf numFmtId="0" fontId="0" fillId="4" borderId="0" xfId="0" applyFill="1" applyAlignment="1">
      <alignment horizontal="center" vertical="center" wrapText="1"/>
    </xf>
    <xf numFmtId="0" fontId="0" fillId="4" borderId="21" xfId="0" applyFill="1" applyBorder="1" applyAlignment="1">
      <alignment horizontal="center" vertical="center" wrapText="1"/>
    </xf>
    <xf numFmtId="0" fontId="9" fillId="4" borderId="17" xfId="0" applyFont="1" applyFill="1" applyBorder="1" applyAlignment="1">
      <alignment horizontal="left" vertical="top" wrapText="1"/>
    </xf>
    <xf numFmtId="0" fontId="17" fillId="4" borderId="33" xfId="0" applyFont="1" applyFill="1" applyBorder="1" applyAlignment="1">
      <alignment horizontal="center" vertical="center"/>
    </xf>
    <xf numFmtId="0" fontId="17" fillId="4" borderId="34" xfId="0" applyFont="1" applyFill="1" applyBorder="1" applyAlignment="1">
      <alignment horizontal="center" vertical="center"/>
    </xf>
    <xf numFmtId="4" fontId="17" fillId="4" borderId="34" xfId="0" applyNumberFormat="1" applyFont="1" applyFill="1" applyBorder="1" applyAlignment="1">
      <alignment horizontal="center" vertical="center"/>
    </xf>
    <xf numFmtId="0" fontId="20" fillId="4" borderId="35" xfId="0" applyFont="1" applyFill="1" applyBorder="1" applyAlignment="1">
      <alignment horizontal="center" vertical="center"/>
    </xf>
    <xf numFmtId="0" fontId="15" fillId="4" borderId="21" xfId="0" applyFont="1" applyFill="1" applyBorder="1" applyAlignment="1">
      <alignment horizontal="center" vertical="center" wrapText="1"/>
    </xf>
    <xf numFmtId="0" fontId="8" fillId="4" borderId="33" xfId="0" applyFont="1" applyFill="1" applyBorder="1" applyAlignment="1">
      <alignment horizontal="left"/>
    </xf>
    <xf numFmtId="0" fontId="8" fillId="4" borderId="34" xfId="0" applyFont="1" applyFill="1" applyBorder="1" applyAlignment="1">
      <alignment horizontal="left"/>
    </xf>
    <xf numFmtId="0" fontId="8" fillId="4" borderId="35" xfId="0" applyFont="1" applyFill="1" applyBorder="1" applyAlignment="1">
      <alignment horizontal="left"/>
    </xf>
    <xf numFmtId="0" fontId="8" fillId="4" borderId="47" xfId="0" applyFont="1" applyFill="1" applyBorder="1" applyAlignment="1">
      <alignment horizontal="left"/>
    </xf>
    <xf numFmtId="0" fontId="8" fillId="4" borderId="28" xfId="0" applyFont="1" applyFill="1" applyBorder="1" applyAlignment="1">
      <alignment horizontal="left"/>
    </xf>
    <xf numFmtId="0" fontId="8" fillId="4" borderId="49" xfId="0" applyFont="1" applyFill="1" applyBorder="1" applyAlignment="1">
      <alignment horizontal="left"/>
    </xf>
    <xf numFmtId="0" fontId="9" fillId="5" borderId="47" xfId="0" applyFont="1" applyFill="1" applyBorder="1" applyAlignment="1">
      <alignment horizontal="center" vertical="center" wrapText="1"/>
    </xf>
    <xf numFmtId="0" fontId="9" fillId="5" borderId="28" xfId="0" applyFont="1" applyFill="1" applyBorder="1" applyAlignment="1">
      <alignment horizontal="center" vertical="center"/>
    </xf>
    <xf numFmtId="0" fontId="9" fillId="5" borderId="49" xfId="0" applyFont="1" applyFill="1" applyBorder="1" applyAlignment="1">
      <alignment horizontal="center" vertical="center"/>
    </xf>
    <xf numFmtId="0" fontId="8" fillId="4" borderId="46" xfId="0" applyFont="1" applyFill="1" applyBorder="1" applyAlignment="1">
      <alignment horizontal="center"/>
    </xf>
    <xf numFmtId="0" fontId="8" fillId="4" borderId="131" xfId="0" applyFont="1" applyFill="1" applyBorder="1" applyAlignment="1">
      <alignment horizontal="center"/>
    </xf>
    <xf numFmtId="0" fontId="8" fillId="4" borderId="45" xfId="0" applyFont="1" applyFill="1" applyBorder="1" applyAlignment="1">
      <alignment horizontal="center"/>
    </xf>
    <xf numFmtId="0" fontId="9" fillId="14" borderId="47" xfId="0" applyFont="1" applyFill="1" applyBorder="1" applyAlignment="1">
      <alignment horizontal="center" vertical="center" wrapText="1"/>
    </xf>
    <xf numFmtId="0" fontId="9" fillId="14" borderId="28" xfId="0" applyFont="1" applyFill="1" applyBorder="1" applyAlignment="1">
      <alignment horizontal="center" vertical="center"/>
    </xf>
    <xf numFmtId="0" fontId="9" fillId="14" borderId="49" xfId="0" applyFont="1" applyFill="1" applyBorder="1" applyAlignment="1">
      <alignment horizontal="center" vertical="center"/>
    </xf>
    <xf numFmtId="0" fontId="8" fillId="13" borderId="33" xfId="0" applyFont="1" applyFill="1" applyBorder="1" applyAlignment="1">
      <alignment horizontal="left"/>
    </xf>
    <xf numFmtId="0" fontId="8" fillId="13" borderId="34" xfId="0" applyFont="1" applyFill="1" applyBorder="1" applyAlignment="1">
      <alignment horizontal="left"/>
    </xf>
    <xf numFmtId="0" fontId="8" fillId="13" borderId="35" xfId="0" applyFont="1" applyFill="1" applyBorder="1" applyAlignment="1">
      <alignment horizontal="left"/>
    </xf>
    <xf numFmtId="0" fontId="8" fillId="24" borderId="33" xfId="0" applyFont="1" applyFill="1" applyBorder="1" applyAlignment="1">
      <alignment horizontal="left" wrapText="1"/>
    </xf>
    <xf numFmtId="0" fontId="0" fillId="24" borderId="34" xfId="0" applyFill="1" applyBorder="1" applyAlignment="1">
      <alignment wrapText="1"/>
    </xf>
    <xf numFmtId="0" fontId="0" fillId="24" borderId="35" xfId="0" applyFill="1" applyBorder="1" applyAlignment="1">
      <alignment wrapText="1"/>
    </xf>
    <xf numFmtId="0" fontId="0" fillId="13" borderId="21" xfId="0" applyFill="1" applyBorder="1"/>
    <xf numFmtId="0" fontId="15" fillId="13" borderId="21" xfId="0" applyFont="1" applyFill="1" applyBorder="1" applyAlignment="1">
      <alignment horizontal="center" vertical="center" wrapText="1"/>
    </xf>
    <xf numFmtId="0" fontId="9" fillId="13" borderId="52" xfId="0" applyFont="1" applyFill="1" applyBorder="1" applyAlignment="1">
      <alignment horizontal="center"/>
    </xf>
    <xf numFmtId="0" fontId="9" fillId="13" borderId="85" xfId="0" applyFont="1" applyFill="1" applyBorder="1" applyAlignment="1">
      <alignment horizontal="center"/>
    </xf>
    <xf numFmtId="0" fontId="9" fillId="13" borderId="53" xfId="0" applyFont="1" applyFill="1" applyBorder="1" applyAlignment="1">
      <alignment horizontal="center"/>
    </xf>
    <xf numFmtId="0" fontId="9" fillId="13" borderId="15" xfId="0" applyFont="1" applyFill="1" applyBorder="1" applyAlignment="1">
      <alignment horizontal="left" vertical="top" wrapText="1"/>
    </xf>
    <xf numFmtId="0" fontId="9" fillId="13" borderId="16" xfId="0" applyFont="1" applyFill="1" applyBorder="1" applyAlignment="1">
      <alignment horizontal="left" vertical="top" wrapText="1"/>
    </xf>
    <xf numFmtId="0" fontId="0" fillId="13" borderId="17" xfId="0" applyFill="1" applyBorder="1" applyAlignment="1">
      <alignment wrapText="1"/>
    </xf>
    <xf numFmtId="0" fontId="11" fillId="14" borderId="61" xfId="0" applyFont="1" applyFill="1" applyBorder="1" applyAlignment="1">
      <alignment horizontal="center"/>
    </xf>
    <xf numFmtId="0" fontId="11" fillId="14" borderId="28" xfId="0" applyFont="1" applyFill="1" applyBorder="1" applyAlignment="1">
      <alignment horizontal="center"/>
    </xf>
    <xf numFmtId="0" fontId="11" fillId="14" borderId="62" xfId="0" applyFont="1" applyFill="1" applyBorder="1" applyAlignment="1">
      <alignment horizontal="center"/>
    </xf>
  </cellXfs>
  <cellStyles count="10">
    <cellStyle name="Hipervínculo" xfId="9" builtinId="8"/>
    <cellStyle name="Millares" xfId="6" builtinId="3"/>
    <cellStyle name="Moneda" xfId="8" builtinId="4"/>
    <cellStyle name="Moneda 2" xfId="4" xr:uid="{00000000-0005-0000-0000-000003000000}"/>
    <cellStyle name="Moneda 3" xfId="1" xr:uid="{00000000-0005-0000-0000-000004000000}"/>
    <cellStyle name="Normal" xfId="0" builtinId="0"/>
    <cellStyle name="Normal 2" xfId="2" xr:uid="{00000000-0005-0000-0000-000006000000}"/>
    <cellStyle name="Normal 4" xfId="5" xr:uid="{00000000-0005-0000-0000-000007000000}"/>
    <cellStyle name="Porcentaje" xfId="7" builtinId="5"/>
    <cellStyle name="Porcentaje 3" xfId="3" xr:uid="{00000000-0005-0000-0000-000008000000}"/>
  </cellStyles>
  <dxfs count="0"/>
  <tableStyles count="0" defaultTableStyle="TableStyleMedium2" defaultPivotStyle="PivotStyleLight16"/>
  <colors>
    <mruColors>
      <color rgb="FFF6F68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clustered"/>
        <c:varyColors val="0"/>
        <c:ser>
          <c:idx val="0"/>
          <c:order val="0"/>
          <c:tx>
            <c:v>Año 2021</c:v>
          </c:tx>
          <c:invertIfNegative val="0"/>
          <c:val>
            <c:numRef>
              <c:f>Hipótesis!$B$23:$E$23</c:f>
              <c:numCache>
                <c:formatCode>0%</c:formatCode>
                <c:ptCount val="4"/>
                <c:pt idx="0" formatCode="General">
                  <c:v>2022</c:v>
                </c:pt>
                <c:pt idx="1">
                  <c:v>0.03</c:v>
                </c:pt>
                <c:pt idx="2" formatCode="&quot;$&quot;#,##0.00">
                  <c:v>72000000</c:v>
                </c:pt>
              </c:numCache>
            </c:numRef>
          </c:val>
          <c:extLst>
            <c:ext xmlns:c16="http://schemas.microsoft.com/office/drawing/2014/chart" uri="{C3380CC4-5D6E-409C-BE32-E72D297353CC}">
              <c16:uniqueId val="{00000000-DB1C-4E5C-B40E-9FEBFEA10614}"/>
            </c:ext>
          </c:extLst>
        </c:ser>
        <c:ser>
          <c:idx val="1"/>
          <c:order val="1"/>
          <c:tx>
            <c:v>Año 2022</c:v>
          </c:tx>
          <c:invertIfNegative val="0"/>
          <c:val>
            <c:numRef>
              <c:f>Hipótesis!$B$24:$E$24</c:f>
              <c:numCache>
                <c:formatCode>0%</c:formatCode>
                <c:ptCount val="4"/>
                <c:pt idx="0" formatCode="General">
                  <c:v>2023</c:v>
                </c:pt>
                <c:pt idx="1">
                  <c:v>0.06</c:v>
                </c:pt>
                <c:pt idx="2" formatCode="&quot;$&quot;#,##0.00">
                  <c:v>144000000</c:v>
                </c:pt>
              </c:numCache>
            </c:numRef>
          </c:val>
          <c:extLst>
            <c:ext xmlns:c16="http://schemas.microsoft.com/office/drawing/2014/chart" uri="{C3380CC4-5D6E-409C-BE32-E72D297353CC}">
              <c16:uniqueId val="{00000001-DB1C-4E5C-B40E-9FEBFEA10614}"/>
            </c:ext>
          </c:extLst>
        </c:ser>
        <c:ser>
          <c:idx val="2"/>
          <c:order val="2"/>
          <c:tx>
            <c:v>Año 2023</c:v>
          </c:tx>
          <c:invertIfNegative val="0"/>
          <c:val>
            <c:numRef>
              <c:f>Hipótesis!$B$25:$E$25</c:f>
              <c:numCache>
                <c:formatCode>0%</c:formatCode>
                <c:ptCount val="4"/>
                <c:pt idx="0" formatCode="General">
                  <c:v>2024</c:v>
                </c:pt>
                <c:pt idx="1">
                  <c:v>0.1</c:v>
                </c:pt>
                <c:pt idx="2" formatCode="&quot;$&quot;#,##0.00">
                  <c:v>240000000</c:v>
                </c:pt>
              </c:numCache>
            </c:numRef>
          </c:val>
          <c:extLst>
            <c:ext xmlns:c16="http://schemas.microsoft.com/office/drawing/2014/chart" uri="{C3380CC4-5D6E-409C-BE32-E72D297353CC}">
              <c16:uniqueId val="{00000002-DB1C-4E5C-B40E-9FEBFEA10614}"/>
            </c:ext>
          </c:extLst>
        </c:ser>
        <c:dLbls>
          <c:showLegendKey val="0"/>
          <c:showVal val="0"/>
          <c:showCatName val="0"/>
          <c:showSerName val="0"/>
          <c:showPercent val="0"/>
          <c:showBubbleSize val="0"/>
        </c:dLbls>
        <c:gapWidth val="150"/>
        <c:shape val="cone"/>
        <c:axId val="82745984"/>
        <c:axId val="82751872"/>
        <c:axId val="0"/>
      </c:bar3DChart>
      <c:catAx>
        <c:axId val="82745984"/>
        <c:scaling>
          <c:orientation val="minMax"/>
        </c:scaling>
        <c:delete val="0"/>
        <c:axPos val="b"/>
        <c:majorTickMark val="out"/>
        <c:minorTickMark val="none"/>
        <c:tickLblPos val="nextTo"/>
        <c:crossAx val="82751872"/>
        <c:crosses val="autoZero"/>
        <c:auto val="1"/>
        <c:lblAlgn val="ctr"/>
        <c:lblOffset val="100"/>
        <c:noMultiLvlLbl val="0"/>
      </c:catAx>
      <c:valAx>
        <c:axId val="82751872"/>
        <c:scaling>
          <c:orientation val="minMax"/>
        </c:scaling>
        <c:delete val="0"/>
        <c:axPos val="l"/>
        <c:majorGridlines/>
        <c:numFmt formatCode="General" sourceLinked="1"/>
        <c:majorTickMark val="out"/>
        <c:minorTickMark val="none"/>
        <c:tickLblPos val="nextTo"/>
        <c:crossAx val="82745984"/>
        <c:crosses val="autoZero"/>
        <c:crossBetween val="between"/>
      </c:valAx>
    </c:plotArea>
    <c:legend>
      <c:legendPos val="r"/>
      <c:overlay val="0"/>
    </c:legend>
    <c:plotVisOnly val="1"/>
    <c:dispBlanksAs val="gap"/>
    <c:showDLblsOverMax val="0"/>
  </c:chart>
  <c:printSettings>
    <c:headerFooter/>
    <c:pageMargins b="0.75000000000000444" l="0.70000000000000062" r="0.70000000000000062" t="0.750000000000004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AR" sz="1800" b="1"/>
              <a:t>Proyección mensual</a:t>
            </a:r>
            <a:r>
              <a:rPr lang="es-AR" sz="1800" b="1" baseline="0"/>
              <a:t> de ventas 2021</a:t>
            </a:r>
            <a:endParaRPr lang="es-AR" sz="1800" b="1"/>
          </a:p>
        </c:rich>
      </c:tx>
      <c:overlay val="0"/>
      <c:spPr>
        <a:noFill/>
        <a:ln>
          <a:noFill/>
        </a:ln>
        <a:effectLst/>
      </c:spPr>
    </c:title>
    <c:autoTitleDeleted val="0"/>
    <c:view3D>
      <c:rotX val="15"/>
      <c:rotY val="20"/>
      <c:rAngAx val="0"/>
    </c:view3D>
    <c:floor>
      <c:thickness val="0"/>
    </c:floor>
    <c:sideWall>
      <c:thickness val="0"/>
      <c:spPr>
        <a:noFill/>
        <a:ln>
          <a:noFill/>
        </a:ln>
        <a:effectLst/>
      </c:spPr>
    </c:sideWall>
    <c:backWall>
      <c:thickness val="0"/>
      <c:spPr>
        <a:noFill/>
        <a:ln>
          <a:noFill/>
        </a:ln>
        <a:effectLst/>
      </c:spPr>
    </c:backWall>
    <c:plotArea>
      <c:layout/>
      <c:bar3DChart>
        <c:barDir val="col"/>
        <c:grouping val="clustered"/>
        <c:varyColors val="0"/>
        <c:ser>
          <c:idx val="0"/>
          <c:order val="0"/>
          <c:tx>
            <c:v>ENERO</c:v>
          </c:tx>
          <c:spPr>
            <a:solidFill>
              <a:schemeClr val="accent1"/>
            </a:solidFill>
            <a:effectLst/>
          </c:spPr>
          <c:invertIfNegative val="0"/>
          <c:val>
            <c:numRef>
              <c:f>'Proyección de ventas'!$F$46</c:f>
              <c:numCache>
                <c:formatCode>_-"$"\ * #,##0.00_-;\-"$"\ * #,##0.00_-;_-"$"\ * "-"??_-;_-@_-</c:formatCode>
                <c:ptCount val="1"/>
                <c:pt idx="0">
                  <c:v>2976000</c:v>
                </c:pt>
              </c:numCache>
            </c:numRef>
          </c:val>
          <c:extLst>
            <c:ext xmlns:c16="http://schemas.microsoft.com/office/drawing/2014/chart" uri="{C3380CC4-5D6E-409C-BE32-E72D297353CC}">
              <c16:uniqueId val="{00000000-9191-4473-B9A1-489F425F65C4}"/>
            </c:ext>
          </c:extLst>
        </c:ser>
        <c:ser>
          <c:idx val="1"/>
          <c:order val="1"/>
          <c:tx>
            <c:v>FEBRERO</c:v>
          </c:tx>
          <c:spPr>
            <a:solidFill>
              <a:schemeClr val="accent2"/>
            </a:solidFill>
            <a:effectLst/>
          </c:spPr>
          <c:invertIfNegative val="0"/>
          <c:val>
            <c:numRef>
              <c:f>'Proyección de ventas'!$H$46</c:f>
              <c:numCache>
                <c:formatCode>_-"$"\ * #,##0.00_-;\-"$"\ * #,##0.00_-;_-"$"\ * "-"??_-;_-@_-</c:formatCode>
                <c:ptCount val="1"/>
                <c:pt idx="0">
                  <c:v>2976000</c:v>
                </c:pt>
              </c:numCache>
            </c:numRef>
          </c:val>
          <c:extLst>
            <c:ext xmlns:c16="http://schemas.microsoft.com/office/drawing/2014/chart" uri="{C3380CC4-5D6E-409C-BE32-E72D297353CC}">
              <c16:uniqueId val="{00000001-9191-4473-B9A1-489F425F65C4}"/>
            </c:ext>
          </c:extLst>
        </c:ser>
        <c:ser>
          <c:idx val="2"/>
          <c:order val="2"/>
          <c:tx>
            <c:v>MARZO</c:v>
          </c:tx>
          <c:spPr>
            <a:solidFill>
              <a:schemeClr val="accent3"/>
            </a:solidFill>
            <a:effectLst/>
          </c:spPr>
          <c:invertIfNegative val="0"/>
          <c:val>
            <c:numRef>
              <c:f>'Proyección de ventas'!$J$46</c:f>
              <c:numCache>
                <c:formatCode>_-"$"\ * #,##0.00_-;\-"$"\ * #,##0.00_-;_-"$"\ * "-"??_-;_-@_-</c:formatCode>
                <c:ptCount val="1"/>
                <c:pt idx="0">
                  <c:v>2976000</c:v>
                </c:pt>
              </c:numCache>
            </c:numRef>
          </c:val>
          <c:extLst>
            <c:ext xmlns:c16="http://schemas.microsoft.com/office/drawing/2014/chart" uri="{C3380CC4-5D6E-409C-BE32-E72D297353CC}">
              <c16:uniqueId val="{00000002-9191-4473-B9A1-489F425F65C4}"/>
            </c:ext>
          </c:extLst>
        </c:ser>
        <c:ser>
          <c:idx val="3"/>
          <c:order val="3"/>
          <c:tx>
            <c:v>ABRIL</c:v>
          </c:tx>
          <c:spPr>
            <a:solidFill>
              <a:schemeClr val="accent4"/>
            </a:solidFill>
            <a:effectLst/>
          </c:spPr>
          <c:invertIfNegative val="0"/>
          <c:val>
            <c:numRef>
              <c:f>'Proyección de ventas'!$L$46</c:f>
              <c:numCache>
                <c:formatCode>_-"$"\ * #,##0.00_-;\-"$"\ * #,##0.00_-;_-"$"\ * "-"??_-;_-@_-</c:formatCode>
                <c:ptCount val="1"/>
                <c:pt idx="0">
                  <c:v>2976000</c:v>
                </c:pt>
              </c:numCache>
            </c:numRef>
          </c:val>
          <c:extLst>
            <c:ext xmlns:c16="http://schemas.microsoft.com/office/drawing/2014/chart" uri="{C3380CC4-5D6E-409C-BE32-E72D297353CC}">
              <c16:uniqueId val="{00000003-9191-4473-B9A1-489F425F65C4}"/>
            </c:ext>
          </c:extLst>
        </c:ser>
        <c:ser>
          <c:idx val="4"/>
          <c:order val="4"/>
          <c:tx>
            <c:v>MAYO</c:v>
          </c:tx>
          <c:spPr>
            <a:solidFill>
              <a:schemeClr val="accent5"/>
            </a:solidFill>
            <a:effectLst/>
          </c:spPr>
          <c:invertIfNegative val="0"/>
          <c:val>
            <c:numRef>
              <c:f>'Proyección de ventas'!$N$46</c:f>
              <c:numCache>
                <c:formatCode>_-"$"\ * #,##0.00_-;\-"$"\ * #,##0.00_-;_-"$"\ * "-"??_-;_-@_-</c:formatCode>
                <c:ptCount val="1"/>
                <c:pt idx="0">
                  <c:v>2976000</c:v>
                </c:pt>
              </c:numCache>
            </c:numRef>
          </c:val>
          <c:extLst>
            <c:ext xmlns:c16="http://schemas.microsoft.com/office/drawing/2014/chart" uri="{C3380CC4-5D6E-409C-BE32-E72D297353CC}">
              <c16:uniqueId val="{00000004-9191-4473-B9A1-489F425F65C4}"/>
            </c:ext>
          </c:extLst>
        </c:ser>
        <c:ser>
          <c:idx val="5"/>
          <c:order val="5"/>
          <c:tx>
            <c:v>JUNIO</c:v>
          </c:tx>
          <c:spPr>
            <a:solidFill>
              <a:schemeClr val="accent6"/>
            </a:solidFill>
            <a:effectLst/>
          </c:spPr>
          <c:invertIfNegative val="0"/>
          <c:val>
            <c:numRef>
              <c:f>'Proyección de ventas'!$P$46</c:f>
              <c:numCache>
                <c:formatCode>_-"$"\ * #,##0.00_-;\-"$"\ * #,##0.00_-;_-"$"\ * "-"??_-;_-@_-</c:formatCode>
                <c:ptCount val="1"/>
                <c:pt idx="0">
                  <c:v>2976000</c:v>
                </c:pt>
              </c:numCache>
            </c:numRef>
          </c:val>
          <c:extLst>
            <c:ext xmlns:c16="http://schemas.microsoft.com/office/drawing/2014/chart" uri="{C3380CC4-5D6E-409C-BE32-E72D297353CC}">
              <c16:uniqueId val="{00000005-9191-4473-B9A1-489F425F65C4}"/>
            </c:ext>
          </c:extLst>
        </c:ser>
        <c:ser>
          <c:idx val="6"/>
          <c:order val="6"/>
          <c:tx>
            <c:v>JULIO</c:v>
          </c:tx>
          <c:invertIfNegative val="0"/>
          <c:val>
            <c:numRef>
              <c:f>'Proyección de ventas'!$R$46</c:f>
              <c:numCache>
                <c:formatCode>_-"$"\ * #,##0.00_-;\-"$"\ * #,##0.00_-;_-"$"\ * "-"??_-;_-@_-</c:formatCode>
                <c:ptCount val="1"/>
                <c:pt idx="0">
                  <c:v>2976000</c:v>
                </c:pt>
              </c:numCache>
            </c:numRef>
          </c:val>
          <c:extLst>
            <c:ext xmlns:c16="http://schemas.microsoft.com/office/drawing/2014/chart" uri="{C3380CC4-5D6E-409C-BE32-E72D297353CC}">
              <c16:uniqueId val="{00000006-9191-4473-B9A1-489F425F65C4}"/>
            </c:ext>
          </c:extLst>
        </c:ser>
        <c:ser>
          <c:idx val="7"/>
          <c:order val="7"/>
          <c:tx>
            <c:v>AGOSTO</c:v>
          </c:tx>
          <c:spPr>
            <a:solidFill>
              <a:schemeClr val="accent2">
                <a:lumMod val="60000"/>
              </a:schemeClr>
            </a:solidFill>
            <a:effectLst/>
          </c:spPr>
          <c:invertIfNegative val="0"/>
          <c:val>
            <c:numRef>
              <c:f>'Proyección de ventas'!$T$46</c:f>
              <c:numCache>
                <c:formatCode>_-"$"\ * #,##0.00_-;\-"$"\ * #,##0.00_-;_-"$"\ * "-"??_-;_-@_-</c:formatCode>
                <c:ptCount val="1"/>
                <c:pt idx="0">
                  <c:v>2976000</c:v>
                </c:pt>
              </c:numCache>
            </c:numRef>
          </c:val>
          <c:extLst>
            <c:ext xmlns:c16="http://schemas.microsoft.com/office/drawing/2014/chart" uri="{C3380CC4-5D6E-409C-BE32-E72D297353CC}">
              <c16:uniqueId val="{00000007-9191-4473-B9A1-489F425F65C4}"/>
            </c:ext>
          </c:extLst>
        </c:ser>
        <c:ser>
          <c:idx val="8"/>
          <c:order val="8"/>
          <c:tx>
            <c:v>SEPTIEMBRE</c:v>
          </c:tx>
          <c:spPr>
            <a:solidFill>
              <a:schemeClr val="accent3">
                <a:lumMod val="60000"/>
              </a:schemeClr>
            </a:solidFill>
            <a:effectLst/>
          </c:spPr>
          <c:invertIfNegative val="0"/>
          <c:val>
            <c:numRef>
              <c:f>'Proyección de ventas'!$V$46</c:f>
              <c:numCache>
                <c:formatCode>_-"$"\ * #,##0.00_-;\-"$"\ * #,##0.00_-;_-"$"\ * "-"??_-;_-@_-</c:formatCode>
                <c:ptCount val="1"/>
                <c:pt idx="0">
                  <c:v>2976000</c:v>
                </c:pt>
              </c:numCache>
            </c:numRef>
          </c:val>
          <c:extLst>
            <c:ext xmlns:c16="http://schemas.microsoft.com/office/drawing/2014/chart" uri="{C3380CC4-5D6E-409C-BE32-E72D297353CC}">
              <c16:uniqueId val="{00000008-9191-4473-B9A1-489F425F65C4}"/>
            </c:ext>
          </c:extLst>
        </c:ser>
        <c:ser>
          <c:idx val="9"/>
          <c:order val="9"/>
          <c:tx>
            <c:v>OCTUBRE</c:v>
          </c:tx>
          <c:spPr>
            <a:solidFill>
              <a:schemeClr val="accent4">
                <a:lumMod val="60000"/>
              </a:schemeClr>
            </a:solidFill>
            <a:effectLst/>
          </c:spPr>
          <c:invertIfNegative val="0"/>
          <c:val>
            <c:numRef>
              <c:f>'Proyección de ventas'!$X$46</c:f>
              <c:numCache>
                <c:formatCode>_-"$"\ * #,##0.00_-;\-"$"\ * #,##0.00_-;_-"$"\ * "-"??_-;_-@_-</c:formatCode>
                <c:ptCount val="1"/>
                <c:pt idx="0">
                  <c:v>2976000</c:v>
                </c:pt>
              </c:numCache>
            </c:numRef>
          </c:val>
          <c:extLst>
            <c:ext xmlns:c16="http://schemas.microsoft.com/office/drawing/2014/chart" uri="{C3380CC4-5D6E-409C-BE32-E72D297353CC}">
              <c16:uniqueId val="{00000009-9191-4473-B9A1-489F425F65C4}"/>
            </c:ext>
          </c:extLst>
        </c:ser>
        <c:ser>
          <c:idx val="10"/>
          <c:order val="10"/>
          <c:tx>
            <c:v>NOVIEMBRE</c:v>
          </c:tx>
          <c:spPr>
            <a:solidFill>
              <a:schemeClr val="accent5">
                <a:lumMod val="60000"/>
              </a:schemeClr>
            </a:solidFill>
            <a:effectLst/>
          </c:spPr>
          <c:invertIfNegative val="0"/>
          <c:val>
            <c:numRef>
              <c:f>'Proyección de ventas'!$Z$46</c:f>
              <c:numCache>
                <c:formatCode>_-"$"\ * #,##0.00_-;\-"$"\ * #,##0.00_-;_-"$"\ * "-"??_-;_-@_-</c:formatCode>
                <c:ptCount val="1"/>
                <c:pt idx="0">
                  <c:v>3720000</c:v>
                </c:pt>
              </c:numCache>
            </c:numRef>
          </c:val>
          <c:extLst>
            <c:ext xmlns:c16="http://schemas.microsoft.com/office/drawing/2014/chart" uri="{C3380CC4-5D6E-409C-BE32-E72D297353CC}">
              <c16:uniqueId val="{0000000A-9191-4473-B9A1-489F425F65C4}"/>
            </c:ext>
          </c:extLst>
        </c:ser>
        <c:ser>
          <c:idx val="11"/>
          <c:order val="11"/>
          <c:tx>
            <c:v>DICIEMBRE</c:v>
          </c:tx>
          <c:spPr>
            <a:solidFill>
              <a:schemeClr val="accent6">
                <a:lumMod val="60000"/>
              </a:schemeClr>
            </a:solidFill>
            <a:effectLst/>
          </c:spPr>
          <c:invertIfNegative val="0"/>
          <c:val>
            <c:numRef>
              <c:f>'Proyección de ventas'!$AB$46</c:f>
              <c:numCache>
                <c:formatCode>_-"$"\ * #,##0.00_-;\-"$"\ * #,##0.00_-;_-"$"\ * "-"??_-;_-@_-</c:formatCode>
                <c:ptCount val="1"/>
                <c:pt idx="0">
                  <c:v>3720000</c:v>
                </c:pt>
              </c:numCache>
            </c:numRef>
          </c:val>
          <c:extLst>
            <c:ext xmlns:c16="http://schemas.microsoft.com/office/drawing/2014/chart" uri="{C3380CC4-5D6E-409C-BE32-E72D297353CC}">
              <c16:uniqueId val="{0000000B-9191-4473-B9A1-489F425F65C4}"/>
            </c:ext>
          </c:extLst>
        </c:ser>
        <c:dLbls>
          <c:showLegendKey val="0"/>
          <c:showVal val="0"/>
          <c:showCatName val="0"/>
          <c:showSerName val="0"/>
          <c:showPercent val="0"/>
          <c:showBubbleSize val="0"/>
        </c:dLbls>
        <c:gapWidth val="219"/>
        <c:shape val="cylinder"/>
        <c:axId val="83688832"/>
        <c:axId val="82781312"/>
        <c:axId val="0"/>
      </c:bar3DChart>
      <c:catAx>
        <c:axId val="8368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82781312"/>
        <c:crosses val="autoZero"/>
        <c:auto val="1"/>
        <c:lblAlgn val="ctr"/>
        <c:lblOffset val="100"/>
        <c:noMultiLvlLbl val="0"/>
      </c:catAx>
      <c:valAx>
        <c:axId val="8278131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AR"/>
          </a:p>
        </c:txPr>
        <c:crossAx val="83688832"/>
        <c:crosses val="autoZero"/>
        <c:crossBetween val="between"/>
      </c:valAx>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000000000000466" l="0.70000000000000062" r="0.70000000000000062" t="0.750000000000004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AR" sz="1800" b="1"/>
              <a:t>Proyección mensual</a:t>
            </a:r>
            <a:r>
              <a:rPr lang="es-AR" sz="1800" b="1" baseline="0"/>
              <a:t> de ventas 2021 - 2022</a:t>
            </a:r>
            <a:endParaRPr lang="es-AR" sz="1800" b="1"/>
          </a:p>
        </c:rich>
      </c:tx>
      <c:overlay val="0"/>
      <c:spPr>
        <a:noFill/>
        <a:ln>
          <a:noFill/>
        </a:ln>
        <a:effectLst/>
      </c:spPr>
    </c:title>
    <c:autoTitleDeleted val="0"/>
    <c:view3D>
      <c:rotX val="15"/>
      <c:rotY val="20"/>
      <c:rAngAx val="0"/>
    </c:view3D>
    <c:floor>
      <c:thickness val="0"/>
    </c:floor>
    <c:sideWall>
      <c:thickness val="0"/>
      <c:spPr>
        <a:noFill/>
        <a:ln>
          <a:noFill/>
        </a:ln>
        <a:effectLst/>
      </c:spPr>
    </c:sideWall>
    <c:backWall>
      <c:thickness val="0"/>
      <c:spPr>
        <a:noFill/>
        <a:ln>
          <a:noFill/>
        </a:ln>
        <a:effectLst/>
      </c:spPr>
    </c:backWall>
    <c:plotArea>
      <c:layout/>
      <c:bar3DChart>
        <c:barDir val="col"/>
        <c:grouping val="clustered"/>
        <c:varyColors val="0"/>
        <c:ser>
          <c:idx val="0"/>
          <c:order val="0"/>
          <c:tx>
            <c:v>ENERO</c:v>
          </c:tx>
          <c:spPr>
            <a:solidFill>
              <a:schemeClr val="accent1"/>
            </a:solidFill>
            <a:effectLst/>
          </c:spPr>
          <c:invertIfNegative val="0"/>
          <c:val>
            <c:numRef>
              <c:f>('Proyección de ventas'!$F$46,'Proyección de ventas'!$F$97)</c:f>
              <c:numCache>
                <c:formatCode>_-"$"\ * #,##0.00_-;\-"$"\ * #,##0.00_-;_-"$"\ * "-"??_-;_-@_-</c:formatCode>
                <c:ptCount val="2"/>
                <c:pt idx="0">
                  <c:v>2976000</c:v>
                </c:pt>
                <c:pt idx="1">
                  <c:v>5952000</c:v>
                </c:pt>
              </c:numCache>
            </c:numRef>
          </c:val>
          <c:extLst>
            <c:ext xmlns:c16="http://schemas.microsoft.com/office/drawing/2014/chart" uri="{C3380CC4-5D6E-409C-BE32-E72D297353CC}">
              <c16:uniqueId val="{00000000-9191-4473-B9A1-489F425F65C4}"/>
            </c:ext>
          </c:extLst>
        </c:ser>
        <c:ser>
          <c:idx val="1"/>
          <c:order val="1"/>
          <c:tx>
            <c:v>FEBRERO</c:v>
          </c:tx>
          <c:spPr>
            <a:solidFill>
              <a:schemeClr val="accent2"/>
            </a:solidFill>
            <a:effectLst/>
          </c:spPr>
          <c:invertIfNegative val="0"/>
          <c:val>
            <c:numRef>
              <c:f>('Proyección de ventas'!$H$46,'Proyección de ventas'!$H$97)</c:f>
              <c:numCache>
                <c:formatCode>_-"$"\ * #,##0.00_-;\-"$"\ * #,##0.00_-;_-"$"\ * "-"??_-;_-@_-</c:formatCode>
                <c:ptCount val="2"/>
                <c:pt idx="0">
                  <c:v>2976000</c:v>
                </c:pt>
                <c:pt idx="1">
                  <c:v>5952000</c:v>
                </c:pt>
              </c:numCache>
            </c:numRef>
          </c:val>
          <c:extLst>
            <c:ext xmlns:c16="http://schemas.microsoft.com/office/drawing/2014/chart" uri="{C3380CC4-5D6E-409C-BE32-E72D297353CC}">
              <c16:uniqueId val="{00000001-9191-4473-B9A1-489F425F65C4}"/>
            </c:ext>
          </c:extLst>
        </c:ser>
        <c:ser>
          <c:idx val="2"/>
          <c:order val="2"/>
          <c:tx>
            <c:v>MARZO</c:v>
          </c:tx>
          <c:spPr>
            <a:solidFill>
              <a:schemeClr val="accent3"/>
            </a:solidFill>
            <a:effectLst/>
          </c:spPr>
          <c:invertIfNegative val="0"/>
          <c:val>
            <c:numRef>
              <c:f>('Proyección de ventas'!$J$46,'Proyección de ventas'!$J$97)</c:f>
              <c:numCache>
                <c:formatCode>_-"$"\ * #,##0.00_-;\-"$"\ * #,##0.00_-;_-"$"\ * "-"??_-;_-@_-</c:formatCode>
                <c:ptCount val="2"/>
                <c:pt idx="0">
                  <c:v>2976000</c:v>
                </c:pt>
                <c:pt idx="1">
                  <c:v>5952000</c:v>
                </c:pt>
              </c:numCache>
            </c:numRef>
          </c:val>
          <c:extLst>
            <c:ext xmlns:c16="http://schemas.microsoft.com/office/drawing/2014/chart" uri="{C3380CC4-5D6E-409C-BE32-E72D297353CC}">
              <c16:uniqueId val="{00000002-9191-4473-B9A1-489F425F65C4}"/>
            </c:ext>
          </c:extLst>
        </c:ser>
        <c:ser>
          <c:idx val="3"/>
          <c:order val="3"/>
          <c:tx>
            <c:v>ABRIL</c:v>
          </c:tx>
          <c:spPr>
            <a:solidFill>
              <a:schemeClr val="accent4"/>
            </a:solidFill>
            <a:effectLst/>
          </c:spPr>
          <c:invertIfNegative val="0"/>
          <c:val>
            <c:numRef>
              <c:f>('Proyección de ventas'!$L$46,'Proyección de ventas'!$L$97)</c:f>
              <c:numCache>
                <c:formatCode>_-"$"\ * #,##0.00_-;\-"$"\ * #,##0.00_-;_-"$"\ * "-"??_-;_-@_-</c:formatCode>
                <c:ptCount val="2"/>
                <c:pt idx="0">
                  <c:v>2976000</c:v>
                </c:pt>
                <c:pt idx="1">
                  <c:v>5952000</c:v>
                </c:pt>
              </c:numCache>
            </c:numRef>
          </c:val>
          <c:extLst>
            <c:ext xmlns:c16="http://schemas.microsoft.com/office/drawing/2014/chart" uri="{C3380CC4-5D6E-409C-BE32-E72D297353CC}">
              <c16:uniqueId val="{00000003-9191-4473-B9A1-489F425F65C4}"/>
            </c:ext>
          </c:extLst>
        </c:ser>
        <c:ser>
          <c:idx val="4"/>
          <c:order val="4"/>
          <c:tx>
            <c:v>MAYO</c:v>
          </c:tx>
          <c:spPr>
            <a:solidFill>
              <a:schemeClr val="accent5"/>
            </a:solidFill>
            <a:effectLst/>
          </c:spPr>
          <c:invertIfNegative val="0"/>
          <c:val>
            <c:numRef>
              <c:f>('Proyección de ventas'!$N$46,'Proyección de ventas'!$N$97)</c:f>
              <c:numCache>
                <c:formatCode>_-"$"\ * #,##0.00_-;\-"$"\ * #,##0.00_-;_-"$"\ * "-"??_-;_-@_-</c:formatCode>
                <c:ptCount val="2"/>
                <c:pt idx="0">
                  <c:v>2976000</c:v>
                </c:pt>
                <c:pt idx="1">
                  <c:v>5952000</c:v>
                </c:pt>
              </c:numCache>
            </c:numRef>
          </c:val>
          <c:extLst>
            <c:ext xmlns:c16="http://schemas.microsoft.com/office/drawing/2014/chart" uri="{C3380CC4-5D6E-409C-BE32-E72D297353CC}">
              <c16:uniqueId val="{00000004-9191-4473-B9A1-489F425F65C4}"/>
            </c:ext>
          </c:extLst>
        </c:ser>
        <c:ser>
          <c:idx val="5"/>
          <c:order val="5"/>
          <c:tx>
            <c:v>JUNIO</c:v>
          </c:tx>
          <c:spPr>
            <a:solidFill>
              <a:schemeClr val="accent6"/>
            </a:solidFill>
            <a:effectLst/>
          </c:spPr>
          <c:invertIfNegative val="0"/>
          <c:val>
            <c:numRef>
              <c:f>('Proyección de ventas'!$P$46,'Proyección de ventas'!$P$97)</c:f>
              <c:numCache>
                <c:formatCode>_-"$"\ * #,##0.00_-;\-"$"\ * #,##0.00_-;_-"$"\ * "-"??_-;_-@_-</c:formatCode>
                <c:ptCount val="2"/>
                <c:pt idx="0">
                  <c:v>2976000</c:v>
                </c:pt>
                <c:pt idx="1">
                  <c:v>5952000</c:v>
                </c:pt>
              </c:numCache>
            </c:numRef>
          </c:val>
          <c:extLst>
            <c:ext xmlns:c16="http://schemas.microsoft.com/office/drawing/2014/chart" uri="{C3380CC4-5D6E-409C-BE32-E72D297353CC}">
              <c16:uniqueId val="{00000005-9191-4473-B9A1-489F425F65C4}"/>
            </c:ext>
          </c:extLst>
        </c:ser>
        <c:ser>
          <c:idx val="6"/>
          <c:order val="6"/>
          <c:tx>
            <c:v>JULIO</c:v>
          </c:tx>
          <c:spPr>
            <a:solidFill>
              <a:schemeClr val="accent1">
                <a:lumMod val="60000"/>
              </a:schemeClr>
            </a:solidFill>
            <a:effectLst/>
          </c:spPr>
          <c:invertIfNegative val="0"/>
          <c:val>
            <c:numRef>
              <c:f>('Proyección de ventas'!$R$46,'Proyección de ventas'!$R$97)</c:f>
              <c:numCache>
                <c:formatCode>_-"$"\ * #,##0.00_-;\-"$"\ * #,##0.00_-;_-"$"\ * "-"??_-;_-@_-</c:formatCode>
                <c:ptCount val="2"/>
                <c:pt idx="0">
                  <c:v>2976000</c:v>
                </c:pt>
                <c:pt idx="1">
                  <c:v>5952000</c:v>
                </c:pt>
              </c:numCache>
            </c:numRef>
          </c:val>
          <c:extLst>
            <c:ext xmlns:c16="http://schemas.microsoft.com/office/drawing/2014/chart" uri="{C3380CC4-5D6E-409C-BE32-E72D297353CC}">
              <c16:uniqueId val="{00000006-9191-4473-B9A1-489F425F65C4}"/>
            </c:ext>
          </c:extLst>
        </c:ser>
        <c:ser>
          <c:idx val="7"/>
          <c:order val="7"/>
          <c:tx>
            <c:v>AGOSTO</c:v>
          </c:tx>
          <c:spPr>
            <a:solidFill>
              <a:schemeClr val="accent2">
                <a:lumMod val="60000"/>
              </a:schemeClr>
            </a:solidFill>
            <a:effectLst/>
          </c:spPr>
          <c:invertIfNegative val="0"/>
          <c:val>
            <c:numRef>
              <c:f>('Proyección de ventas'!$T$46,'Proyección de ventas'!$T$97)</c:f>
              <c:numCache>
                <c:formatCode>_-"$"\ * #,##0.00_-;\-"$"\ * #,##0.00_-;_-"$"\ * "-"??_-;_-@_-</c:formatCode>
                <c:ptCount val="2"/>
                <c:pt idx="0">
                  <c:v>2976000</c:v>
                </c:pt>
                <c:pt idx="1">
                  <c:v>5952000</c:v>
                </c:pt>
              </c:numCache>
            </c:numRef>
          </c:val>
          <c:extLst>
            <c:ext xmlns:c16="http://schemas.microsoft.com/office/drawing/2014/chart" uri="{C3380CC4-5D6E-409C-BE32-E72D297353CC}">
              <c16:uniqueId val="{00000007-9191-4473-B9A1-489F425F65C4}"/>
            </c:ext>
          </c:extLst>
        </c:ser>
        <c:ser>
          <c:idx val="8"/>
          <c:order val="8"/>
          <c:tx>
            <c:v>SEPTIEMBRE</c:v>
          </c:tx>
          <c:spPr>
            <a:solidFill>
              <a:schemeClr val="accent3">
                <a:lumMod val="60000"/>
              </a:schemeClr>
            </a:solidFill>
            <a:effectLst/>
          </c:spPr>
          <c:invertIfNegative val="0"/>
          <c:val>
            <c:numRef>
              <c:f>('Proyección de ventas'!$V$46,'Proyección de ventas'!$V$97)</c:f>
              <c:numCache>
                <c:formatCode>_-"$"\ * #,##0.00_-;\-"$"\ * #,##0.00_-;_-"$"\ * "-"??_-;_-@_-</c:formatCode>
                <c:ptCount val="2"/>
                <c:pt idx="0">
                  <c:v>2976000</c:v>
                </c:pt>
                <c:pt idx="1">
                  <c:v>5952000</c:v>
                </c:pt>
              </c:numCache>
            </c:numRef>
          </c:val>
          <c:extLst>
            <c:ext xmlns:c16="http://schemas.microsoft.com/office/drawing/2014/chart" uri="{C3380CC4-5D6E-409C-BE32-E72D297353CC}">
              <c16:uniqueId val="{00000008-9191-4473-B9A1-489F425F65C4}"/>
            </c:ext>
          </c:extLst>
        </c:ser>
        <c:ser>
          <c:idx val="9"/>
          <c:order val="9"/>
          <c:tx>
            <c:v>OCTUBRE</c:v>
          </c:tx>
          <c:spPr>
            <a:solidFill>
              <a:schemeClr val="accent4">
                <a:lumMod val="60000"/>
              </a:schemeClr>
            </a:solidFill>
            <a:effectLst/>
          </c:spPr>
          <c:invertIfNegative val="0"/>
          <c:val>
            <c:numRef>
              <c:f>('Proyección de ventas'!$X$46,'Proyección de ventas'!$X$97)</c:f>
              <c:numCache>
                <c:formatCode>_-"$"\ * #,##0.00_-;\-"$"\ * #,##0.00_-;_-"$"\ * "-"??_-;_-@_-</c:formatCode>
                <c:ptCount val="2"/>
                <c:pt idx="0">
                  <c:v>2976000</c:v>
                </c:pt>
                <c:pt idx="1">
                  <c:v>5952000</c:v>
                </c:pt>
              </c:numCache>
            </c:numRef>
          </c:val>
          <c:extLst>
            <c:ext xmlns:c16="http://schemas.microsoft.com/office/drawing/2014/chart" uri="{C3380CC4-5D6E-409C-BE32-E72D297353CC}">
              <c16:uniqueId val="{00000009-9191-4473-B9A1-489F425F65C4}"/>
            </c:ext>
          </c:extLst>
        </c:ser>
        <c:ser>
          <c:idx val="10"/>
          <c:order val="10"/>
          <c:tx>
            <c:v>NOVIEMBRE</c:v>
          </c:tx>
          <c:spPr>
            <a:solidFill>
              <a:schemeClr val="accent5">
                <a:lumMod val="60000"/>
              </a:schemeClr>
            </a:solidFill>
            <a:effectLst/>
          </c:spPr>
          <c:invertIfNegative val="0"/>
          <c:val>
            <c:numRef>
              <c:f>('Proyección de ventas'!$Z$46,'Proyección de ventas'!$Z$97)</c:f>
              <c:numCache>
                <c:formatCode>_-"$"\ * #,##0.00_-;\-"$"\ * #,##0.00_-;_-"$"\ * "-"??_-;_-@_-</c:formatCode>
                <c:ptCount val="2"/>
                <c:pt idx="0">
                  <c:v>3720000</c:v>
                </c:pt>
                <c:pt idx="1">
                  <c:v>7440000</c:v>
                </c:pt>
              </c:numCache>
            </c:numRef>
          </c:val>
          <c:extLst>
            <c:ext xmlns:c16="http://schemas.microsoft.com/office/drawing/2014/chart" uri="{C3380CC4-5D6E-409C-BE32-E72D297353CC}">
              <c16:uniqueId val="{0000000A-9191-4473-B9A1-489F425F65C4}"/>
            </c:ext>
          </c:extLst>
        </c:ser>
        <c:ser>
          <c:idx val="11"/>
          <c:order val="11"/>
          <c:tx>
            <c:v>DICIEMBRE</c:v>
          </c:tx>
          <c:spPr>
            <a:solidFill>
              <a:schemeClr val="accent6">
                <a:lumMod val="60000"/>
              </a:schemeClr>
            </a:solidFill>
            <a:effectLst/>
          </c:spPr>
          <c:invertIfNegative val="0"/>
          <c:val>
            <c:numRef>
              <c:f>('Proyección de ventas'!$AB$46,'Proyección de ventas'!$AB$97)</c:f>
              <c:numCache>
                <c:formatCode>_-"$"\ * #,##0.00_-;\-"$"\ * #,##0.00_-;_-"$"\ * "-"??_-;_-@_-</c:formatCode>
                <c:ptCount val="2"/>
                <c:pt idx="0">
                  <c:v>3720000</c:v>
                </c:pt>
                <c:pt idx="1">
                  <c:v>7440000</c:v>
                </c:pt>
              </c:numCache>
            </c:numRef>
          </c:val>
          <c:extLst>
            <c:ext xmlns:c16="http://schemas.microsoft.com/office/drawing/2014/chart" uri="{C3380CC4-5D6E-409C-BE32-E72D297353CC}">
              <c16:uniqueId val="{0000000B-9191-4473-B9A1-489F425F65C4}"/>
            </c:ext>
          </c:extLst>
        </c:ser>
        <c:dLbls>
          <c:showLegendKey val="0"/>
          <c:showVal val="0"/>
          <c:showCatName val="0"/>
          <c:showSerName val="0"/>
          <c:showPercent val="0"/>
          <c:showBubbleSize val="0"/>
        </c:dLbls>
        <c:gapWidth val="219"/>
        <c:shape val="cylinder"/>
        <c:axId val="83511936"/>
        <c:axId val="83517824"/>
        <c:axId val="0"/>
      </c:bar3DChart>
      <c:catAx>
        <c:axId val="8351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83517824"/>
        <c:crosses val="autoZero"/>
        <c:auto val="1"/>
        <c:lblAlgn val="ctr"/>
        <c:lblOffset val="100"/>
        <c:noMultiLvlLbl val="0"/>
      </c:catAx>
      <c:valAx>
        <c:axId val="8351782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AR"/>
          </a:p>
        </c:txPr>
        <c:crossAx val="83511936"/>
        <c:crosses val="autoZero"/>
        <c:crossBetween val="between"/>
      </c:valAx>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000000000000488" l="0.70000000000000062" r="0.70000000000000062" t="0.7500000000000048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s-AR" sz="1800" b="1"/>
              <a:t>Proyección mensual</a:t>
            </a:r>
            <a:r>
              <a:rPr lang="es-AR" sz="1800" b="1" baseline="0"/>
              <a:t> de ventas 2021 - 2022 - 2023</a:t>
            </a:r>
            <a:endParaRPr lang="es-AR" sz="1800" b="1"/>
          </a:p>
        </c:rich>
      </c:tx>
      <c:overlay val="0"/>
      <c:spPr>
        <a:noFill/>
        <a:ln>
          <a:noFill/>
        </a:ln>
        <a:effectLst/>
      </c:spPr>
    </c:title>
    <c:autoTitleDeleted val="0"/>
    <c:view3D>
      <c:rotX val="15"/>
      <c:rotY val="20"/>
      <c:rAngAx val="0"/>
    </c:view3D>
    <c:floor>
      <c:thickness val="0"/>
    </c:floor>
    <c:sideWall>
      <c:thickness val="0"/>
      <c:spPr>
        <a:noFill/>
        <a:ln>
          <a:noFill/>
        </a:ln>
        <a:effectLst/>
      </c:spPr>
    </c:sideWall>
    <c:backWall>
      <c:thickness val="0"/>
      <c:spPr>
        <a:noFill/>
        <a:ln>
          <a:noFill/>
        </a:ln>
        <a:effectLst/>
      </c:spPr>
    </c:backWall>
    <c:plotArea>
      <c:layout/>
      <c:bar3DChart>
        <c:barDir val="col"/>
        <c:grouping val="clustered"/>
        <c:varyColors val="0"/>
        <c:ser>
          <c:idx val="0"/>
          <c:order val="0"/>
          <c:tx>
            <c:v>ENERO</c:v>
          </c:tx>
          <c:spPr>
            <a:solidFill>
              <a:schemeClr val="accent1"/>
            </a:solidFill>
            <a:effectLst/>
          </c:spPr>
          <c:invertIfNegative val="0"/>
          <c:val>
            <c:numRef>
              <c:f>('Proyección de ventas'!$F$46,'Proyección de ventas'!$F$97,'Proyección de ventas'!$F$149)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0-9191-4473-B9A1-489F425F65C4}"/>
            </c:ext>
          </c:extLst>
        </c:ser>
        <c:ser>
          <c:idx val="1"/>
          <c:order val="1"/>
          <c:tx>
            <c:v>FEBRERO</c:v>
          </c:tx>
          <c:spPr>
            <a:solidFill>
              <a:schemeClr val="accent2"/>
            </a:solidFill>
            <a:effectLst/>
          </c:spPr>
          <c:invertIfNegative val="0"/>
          <c:val>
            <c:numRef>
              <c:f>('Proyección de ventas'!$H$46,'Proyección de ventas'!$H$97,'Proyección de ventas'!$H$149)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1-9191-4473-B9A1-489F425F65C4}"/>
            </c:ext>
          </c:extLst>
        </c:ser>
        <c:ser>
          <c:idx val="2"/>
          <c:order val="2"/>
          <c:tx>
            <c:v>MARZO</c:v>
          </c:tx>
          <c:spPr>
            <a:solidFill>
              <a:schemeClr val="accent3"/>
            </a:solidFill>
            <a:effectLst/>
          </c:spPr>
          <c:invertIfNegative val="0"/>
          <c:val>
            <c:numRef>
              <c:f>('Proyección de ventas'!$J$46,'Proyección de ventas'!$J$97,'Proyección de ventas'!$J$149)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2-9191-4473-B9A1-489F425F65C4}"/>
            </c:ext>
          </c:extLst>
        </c:ser>
        <c:ser>
          <c:idx val="3"/>
          <c:order val="3"/>
          <c:tx>
            <c:v>ABRIL</c:v>
          </c:tx>
          <c:spPr>
            <a:solidFill>
              <a:schemeClr val="accent4"/>
            </a:solidFill>
            <a:effectLst/>
          </c:spPr>
          <c:invertIfNegative val="0"/>
          <c:val>
            <c:numRef>
              <c:f>('Proyección de ventas'!$L$46,'Proyección de ventas'!$L$97,'Proyección de ventas'!$L$149)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3-9191-4473-B9A1-489F425F65C4}"/>
            </c:ext>
          </c:extLst>
        </c:ser>
        <c:ser>
          <c:idx val="4"/>
          <c:order val="4"/>
          <c:tx>
            <c:v>MAYO</c:v>
          </c:tx>
          <c:spPr>
            <a:solidFill>
              <a:schemeClr val="accent5"/>
            </a:solidFill>
            <a:effectLst/>
          </c:spPr>
          <c:invertIfNegative val="0"/>
          <c:val>
            <c:numRef>
              <c:f>('Proyección de ventas'!$N$46,'Proyección de ventas'!$N$97,'Proyección de ventas'!$N$149)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4-9191-4473-B9A1-489F425F65C4}"/>
            </c:ext>
          </c:extLst>
        </c:ser>
        <c:ser>
          <c:idx val="5"/>
          <c:order val="5"/>
          <c:tx>
            <c:v>JUNIO</c:v>
          </c:tx>
          <c:spPr>
            <a:solidFill>
              <a:schemeClr val="accent6"/>
            </a:solidFill>
            <a:effectLst/>
          </c:spPr>
          <c:invertIfNegative val="0"/>
          <c:val>
            <c:numRef>
              <c:f>('Proyección de ventas'!$P$46,'Proyección de ventas'!$P$97,'Proyección de ventas'!$P$149)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5-9191-4473-B9A1-489F425F65C4}"/>
            </c:ext>
          </c:extLst>
        </c:ser>
        <c:ser>
          <c:idx val="6"/>
          <c:order val="6"/>
          <c:tx>
            <c:v>JULIO</c:v>
          </c:tx>
          <c:spPr>
            <a:solidFill>
              <a:schemeClr val="accent1">
                <a:lumMod val="60000"/>
              </a:schemeClr>
            </a:solidFill>
            <a:effectLst/>
          </c:spPr>
          <c:invertIfNegative val="0"/>
          <c:val>
            <c:numRef>
              <c:f>('Proyección de ventas'!$R$46,'Proyección de ventas'!$R$97,'Proyección de ventas'!$R$149)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6-9191-4473-B9A1-489F425F65C4}"/>
            </c:ext>
          </c:extLst>
        </c:ser>
        <c:ser>
          <c:idx val="7"/>
          <c:order val="7"/>
          <c:tx>
            <c:v>AGOSTO</c:v>
          </c:tx>
          <c:spPr>
            <a:solidFill>
              <a:schemeClr val="accent2">
                <a:lumMod val="60000"/>
              </a:schemeClr>
            </a:solidFill>
            <a:effectLst/>
          </c:spPr>
          <c:invertIfNegative val="0"/>
          <c:val>
            <c:numRef>
              <c:f>('Proyección de ventas'!$T$46,'Proyección de ventas'!$T$97,'Proyección de ventas'!$T$149)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7-9191-4473-B9A1-489F425F65C4}"/>
            </c:ext>
          </c:extLst>
        </c:ser>
        <c:ser>
          <c:idx val="8"/>
          <c:order val="8"/>
          <c:tx>
            <c:v>SEPTIEMBRE</c:v>
          </c:tx>
          <c:spPr>
            <a:solidFill>
              <a:schemeClr val="accent3">
                <a:lumMod val="60000"/>
              </a:schemeClr>
            </a:solidFill>
            <a:effectLst/>
          </c:spPr>
          <c:invertIfNegative val="0"/>
          <c:val>
            <c:numRef>
              <c:f>('Proyección de ventas'!$V$46,'Proyección de ventas'!$V$97,'Proyección de ventas'!$V$149)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8-9191-4473-B9A1-489F425F65C4}"/>
            </c:ext>
          </c:extLst>
        </c:ser>
        <c:ser>
          <c:idx val="9"/>
          <c:order val="9"/>
          <c:tx>
            <c:v>OCTUBRE</c:v>
          </c:tx>
          <c:spPr>
            <a:solidFill>
              <a:schemeClr val="accent4">
                <a:lumMod val="60000"/>
              </a:schemeClr>
            </a:solidFill>
            <a:effectLst/>
          </c:spPr>
          <c:invertIfNegative val="0"/>
          <c:val>
            <c:numRef>
              <c:f>('Proyección de ventas'!$X$46,'Proyección de ventas'!$X$97,'Proyección de ventas'!$X$149)</c:f>
              <c:numCache>
                <c:formatCode>_-"$"\ * #,##0.00_-;\-"$"\ * #,##0.00_-;_-"$"\ * "-"??_-;_-@_-</c:formatCode>
                <c:ptCount val="3"/>
                <c:pt idx="0">
                  <c:v>2976000</c:v>
                </c:pt>
                <c:pt idx="1">
                  <c:v>5952000</c:v>
                </c:pt>
                <c:pt idx="2">
                  <c:v>9276400</c:v>
                </c:pt>
              </c:numCache>
            </c:numRef>
          </c:val>
          <c:extLst>
            <c:ext xmlns:c16="http://schemas.microsoft.com/office/drawing/2014/chart" uri="{C3380CC4-5D6E-409C-BE32-E72D297353CC}">
              <c16:uniqueId val="{00000009-9191-4473-B9A1-489F425F65C4}"/>
            </c:ext>
          </c:extLst>
        </c:ser>
        <c:ser>
          <c:idx val="10"/>
          <c:order val="10"/>
          <c:tx>
            <c:v>NOVIEMBRE</c:v>
          </c:tx>
          <c:spPr>
            <a:solidFill>
              <a:schemeClr val="accent5">
                <a:lumMod val="60000"/>
              </a:schemeClr>
            </a:solidFill>
            <a:effectLst/>
          </c:spPr>
          <c:invertIfNegative val="0"/>
          <c:val>
            <c:numRef>
              <c:f>('Proyección de ventas'!$Z$46,'Proyección de ventas'!$Z$97,'Proyección de ventas'!$Z$149)</c:f>
              <c:numCache>
                <c:formatCode>_-"$"\ * #,##0.00_-;\-"$"\ * #,##0.00_-;_-"$"\ * "-"??_-;_-@_-</c:formatCode>
                <c:ptCount val="3"/>
                <c:pt idx="0">
                  <c:v>3720000</c:v>
                </c:pt>
                <c:pt idx="1">
                  <c:v>7440000</c:v>
                </c:pt>
                <c:pt idx="2">
                  <c:v>11595500</c:v>
                </c:pt>
              </c:numCache>
            </c:numRef>
          </c:val>
          <c:extLst>
            <c:ext xmlns:c16="http://schemas.microsoft.com/office/drawing/2014/chart" uri="{C3380CC4-5D6E-409C-BE32-E72D297353CC}">
              <c16:uniqueId val="{0000000A-9191-4473-B9A1-489F425F65C4}"/>
            </c:ext>
          </c:extLst>
        </c:ser>
        <c:ser>
          <c:idx val="11"/>
          <c:order val="11"/>
          <c:tx>
            <c:v>DICIEMBRE</c:v>
          </c:tx>
          <c:spPr>
            <a:solidFill>
              <a:schemeClr val="accent6">
                <a:lumMod val="60000"/>
              </a:schemeClr>
            </a:solidFill>
            <a:effectLst/>
          </c:spPr>
          <c:invertIfNegative val="0"/>
          <c:val>
            <c:numRef>
              <c:f>('Proyección de ventas'!$AB$46,'Proyección de ventas'!$AB$97,'Proyección de ventas'!$AB$149)</c:f>
              <c:numCache>
                <c:formatCode>_-"$"\ * #,##0.00_-;\-"$"\ * #,##0.00_-;_-"$"\ * "-"??_-;_-@_-</c:formatCode>
                <c:ptCount val="3"/>
                <c:pt idx="0">
                  <c:v>3720000</c:v>
                </c:pt>
                <c:pt idx="1">
                  <c:v>7440000</c:v>
                </c:pt>
                <c:pt idx="2">
                  <c:v>11595500</c:v>
                </c:pt>
              </c:numCache>
            </c:numRef>
          </c:val>
          <c:extLst>
            <c:ext xmlns:c16="http://schemas.microsoft.com/office/drawing/2014/chart" uri="{C3380CC4-5D6E-409C-BE32-E72D297353CC}">
              <c16:uniqueId val="{0000000B-9191-4473-B9A1-489F425F65C4}"/>
            </c:ext>
          </c:extLst>
        </c:ser>
        <c:dLbls>
          <c:showLegendKey val="0"/>
          <c:showVal val="0"/>
          <c:showCatName val="0"/>
          <c:showSerName val="0"/>
          <c:showPercent val="0"/>
          <c:showBubbleSize val="0"/>
        </c:dLbls>
        <c:gapWidth val="219"/>
        <c:shape val="cylinder"/>
        <c:axId val="83601280"/>
        <c:axId val="83602816"/>
        <c:axId val="0"/>
      </c:bar3DChart>
      <c:catAx>
        <c:axId val="83601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AR"/>
          </a:p>
        </c:txPr>
        <c:crossAx val="83602816"/>
        <c:crosses val="autoZero"/>
        <c:auto val="1"/>
        <c:lblAlgn val="ctr"/>
        <c:lblOffset val="100"/>
        <c:noMultiLvlLbl val="0"/>
      </c:catAx>
      <c:valAx>
        <c:axId val="8360281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0_-;\-&quot;$&quot;\ * #,##0.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AR"/>
          </a:p>
        </c:txPr>
        <c:crossAx val="83601280"/>
        <c:crosses val="autoZero"/>
        <c:crossBetween val="between"/>
      </c:valAx>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A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AR"/>
    </a:p>
  </c:txPr>
  <c:printSettings>
    <c:headerFooter/>
    <c:pageMargins b="0.75000000000000511" l="0.70000000000000062" r="0.70000000000000062" t="0.750000000000005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3"/>
          <c:order val="0"/>
          <c:tx>
            <c:v>Año 2022</c:v>
          </c:tx>
          <c:invertIfNegative val="0"/>
          <c:cat>
            <c:numRef>
              <c:f>'Modelo de ingresos'!$E$38:$E$39</c:f>
              <c:numCache>
                <c:formatCode>General</c:formatCode>
                <c:ptCount val="2"/>
              </c:numCache>
            </c:numRef>
          </c:cat>
          <c:val>
            <c:numRef>
              <c:f>'Modelo de ingresos'!$C$20</c:f>
              <c:numCache>
                <c:formatCode>_-"$"\ * #,##0.00_-;\-"$"\ * #,##0.00_-;_-"$"\ * "-"??_-;_-@_-</c:formatCode>
                <c:ptCount val="1"/>
                <c:pt idx="0">
                  <c:v>37200000</c:v>
                </c:pt>
              </c:numCache>
            </c:numRef>
          </c:val>
          <c:extLst>
            <c:ext xmlns:c16="http://schemas.microsoft.com/office/drawing/2014/chart" uri="{C3380CC4-5D6E-409C-BE32-E72D297353CC}">
              <c16:uniqueId val="{00000000-5F2E-44A8-BB96-F5FCEC574E79}"/>
            </c:ext>
          </c:extLst>
        </c:ser>
        <c:ser>
          <c:idx val="4"/>
          <c:order val="1"/>
          <c:tx>
            <c:v>Año 2023</c:v>
          </c:tx>
          <c:invertIfNegative val="0"/>
          <c:cat>
            <c:numRef>
              <c:f>'Modelo de ingresos'!$E$38:$E$39</c:f>
              <c:numCache>
                <c:formatCode>General</c:formatCode>
                <c:ptCount val="2"/>
              </c:numCache>
            </c:numRef>
          </c:cat>
          <c:val>
            <c:numRef>
              <c:f>'Modelo de ingresos'!$D$20</c:f>
              <c:numCache>
                <c:formatCode>_-"$"\ * #,##0.00_-;\-"$"\ * #,##0.00_-;_-"$"\ * "-"??_-;_-@_-</c:formatCode>
                <c:ptCount val="1"/>
                <c:pt idx="0">
                  <c:v>74400000</c:v>
                </c:pt>
              </c:numCache>
            </c:numRef>
          </c:val>
          <c:extLst>
            <c:ext xmlns:c16="http://schemas.microsoft.com/office/drawing/2014/chart" uri="{C3380CC4-5D6E-409C-BE32-E72D297353CC}">
              <c16:uniqueId val="{00000001-5F2E-44A8-BB96-F5FCEC574E79}"/>
            </c:ext>
          </c:extLst>
        </c:ser>
        <c:ser>
          <c:idx val="5"/>
          <c:order val="2"/>
          <c:tx>
            <c:v>Año2024</c:v>
          </c:tx>
          <c:invertIfNegative val="0"/>
          <c:cat>
            <c:numRef>
              <c:f>'Modelo de ingresos'!$E$38:$E$39</c:f>
              <c:numCache>
                <c:formatCode>General</c:formatCode>
                <c:ptCount val="2"/>
              </c:numCache>
            </c:numRef>
          </c:cat>
          <c:val>
            <c:numRef>
              <c:f>'Modelo de ingresos'!$E$20</c:f>
              <c:numCache>
                <c:formatCode>_-"$"\ * #,##0.00_-;\-"$"\ * #,##0.00_-;_-"$"\ * "-"??_-;_-@_-</c:formatCode>
                <c:ptCount val="1"/>
                <c:pt idx="0">
                  <c:v>115955000</c:v>
                </c:pt>
              </c:numCache>
            </c:numRef>
          </c:val>
          <c:extLst>
            <c:ext xmlns:c16="http://schemas.microsoft.com/office/drawing/2014/chart" uri="{C3380CC4-5D6E-409C-BE32-E72D297353CC}">
              <c16:uniqueId val="{00000002-5F2E-44A8-BB96-F5FCEC574E79}"/>
            </c:ext>
          </c:extLst>
        </c:ser>
        <c:dLbls>
          <c:showLegendKey val="0"/>
          <c:showVal val="0"/>
          <c:showCatName val="0"/>
          <c:showSerName val="0"/>
          <c:showPercent val="0"/>
          <c:showBubbleSize val="0"/>
        </c:dLbls>
        <c:gapWidth val="150"/>
        <c:axId val="84370944"/>
        <c:axId val="84372480"/>
      </c:barChart>
      <c:catAx>
        <c:axId val="84370944"/>
        <c:scaling>
          <c:orientation val="minMax"/>
        </c:scaling>
        <c:delete val="0"/>
        <c:axPos val="b"/>
        <c:numFmt formatCode="General" sourceLinked="1"/>
        <c:majorTickMark val="out"/>
        <c:minorTickMark val="none"/>
        <c:tickLblPos val="nextTo"/>
        <c:crossAx val="84372480"/>
        <c:crosses val="autoZero"/>
        <c:auto val="1"/>
        <c:lblAlgn val="ctr"/>
        <c:lblOffset val="100"/>
        <c:noMultiLvlLbl val="0"/>
      </c:catAx>
      <c:valAx>
        <c:axId val="84372480"/>
        <c:scaling>
          <c:orientation val="minMax"/>
        </c:scaling>
        <c:delete val="0"/>
        <c:axPos val="l"/>
        <c:majorGridlines/>
        <c:numFmt formatCode="_-&quot;$&quot;\ * #,##0.00_-;\-&quot;$&quot;\ * #,##0.00_-;_-&quot;$&quot;\ * &quot;-&quot;??_-;_-@_-" sourceLinked="1"/>
        <c:majorTickMark val="out"/>
        <c:minorTickMark val="none"/>
        <c:tickLblPos val="nextTo"/>
        <c:crossAx val="84370944"/>
        <c:crosses val="autoZero"/>
        <c:crossBetween val="between"/>
      </c:valAx>
    </c:plotArea>
    <c:legend>
      <c:legendPos val="r"/>
      <c:overlay val="0"/>
    </c:legend>
    <c:plotVisOnly val="1"/>
    <c:dispBlanksAs val="gap"/>
    <c:showDLblsOverMax val="0"/>
  </c:chart>
  <c:printSettings>
    <c:headerFooter/>
    <c:pageMargins b="0.75000000000000433" l="0.70000000000000062" r="0.70000000000000062" t="0.750000000000004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'Modelo de egresos'!$B$6:$B$8</c:f>
              <c:strCache>
                <c:ptCount val="3"/>
                <c:pt idx="0">
                  <c:v>Costos fijos</c:v>
                </c:pt>
                <c:pt idx="1">
                  <c:v>Costos variables</c:v>
                </c:pt>
                <c:pt idx="2">
                  <c:v>Costos RRHH</c:v>
                </c:pt>
              </c:strCache>
            </c:strRef>
          </c:cat>
          <c:val>
            <c:numRef>
              <c:f>'Modelo de egresos'!$D$6:$D$8</c:f>
              <c:numCache>
                <c:formatCode>_-[$$-2C0A]\ * #,##0.00_-;\-[$$-2C0A]\ * #,##0.00_-;_-[$$-2C0A]\ * "-"??_-;_-@_-</c:formatCode>
                <c:ptCount val="3"/>
                <c:pt idx="0">
                  <c:v>7891200</c:v>
                </c:pt>
                <c:pt idx="1">
                  <c:v>9615240</c:v>
                </c:pt>
                <c:pt idx="2">
                  <c:v>31080950.586450003</c:v>
                </c:pt>
              </c:numCache>
            </c:numRef>
          </c:val>
          <c:extLst>
            <c:ext xmlns:c16="http://schemas.microsoft.com/office/drawing/2014/chart" uri="{C3380CC4-5D6E-409C-BE32-E72D297353CC}">
              <c16:uniqueId val="{00000000-7EC3-4340-973D-256868CC4311}"/>
            </c:ext>
          </c:extLst>
        </c:ser>
        <c:ser>
          <c:idx val="1"/>
          <c:order val="1"/>
          <c:cat>
            <c:strRef>
              <c:f>'Modelo de egresos'!$B$6:$B$8</c:f>
              <c:strCache>
                <c:ptCount val="3"/>
                <c:pt idx="0">
                  <c:v>Costos fijos</c:v>
                </c:pt>
                <c:pt idx="1">
                  <c:v>Costos variables</c:v>
                </c:pt>
                <c:pt idx="2">
                  <c:v>Costos RRHH</c:v>
                </c:pt>
              </c:strCache>
            </c:strRef>
          </c:cat>
          <c:val>
            <c:numRef>
              <c:f>'Modelo de egresos'!$D$6:$D$8</c:f>
              <c:numCache>
                <c:formatCode>_-[$$-2C0A]\ * #,##0.00_-;\-[$$-2C0A]\ * #,##0.00_-;_-[$$-2C0A]\ * "-"??_-;_-@_-</c:formatCode>
                <c:ptCount val="3"/>
                <c:pt idx="0">
                  <c:v>7891200</c:v>
                </c:pt>
                <c:pt idx="1">
                  <c:v>9615240</c:v>
                </c:pt>
                <c:pt idx="2">
                  <c:v>31080950.586450003</c:v>
                </c:pt>
              </c:numCache>
            </c:numRef>
          </c:val>
          <c:extLst>
            <c:ext xmlns:c16="http://schemas.microsoft.com/office/drawing/2014/chart" uri="{C3380CC4-5D6E-409C-BE32-E72D297353CC}">
              <c16:uniqueId val="{00000001-7EC3-4340-973D-256868CC431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0000000000002" l="0.70000000000000062" r="0.70000000000000062" t="0.750000000000002"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'Modelo de egresos'!$B$6:$B$8</c:f>
              <c:strCache>
                <c:ptCount val="3"/>
                <c:pt idx="0">
                  <c:v>Costos fijos</c:v>
                </c:pt>
                <c:pt idx="1">
                  <c:v>Costos variables</c:v>
                </c:pt>
                <c:pt idx="2">
                  <c:v>Costos RRHH</c:v>
                </c:pt>
              </c:strCache>
            </c:strRef>
          </c:cat>
          <c:val>
            <c:numRef>
              <c:f>'Modelo de egresos'!$D$13:$D$15</c:f>
              <c:numCache>
                <c:formatCode>_-[$$-2C0A]\ * #,##0.00_-;\-[$$-2C0A]\ * #,##0.00_-;_-[$$-2C0A]\ * "-"??_-;_-@_-</c:formatCode>
                <c:ptCount val="3"/>
                <c:pt idx="0">
                  <c:v>11972400</c:v>
                </c:pt>
                <c:pt idx="1">
                  <c:v>18133720</c:v>
                </c:pt>
                <c:pt idx="2">
                  <c:v>39922402.094400004</c:v>
                </c:pt>
              </c:numCache>
            </c:numRef>
          </c:val>
          <c:extLst>
            <c:ext xmlns:c16="http://schemas.microsoft.com/office/drawing/2014/chart" uri="{C3380CC4-5D6E-409C-BE32-E72D297353CC}">
              <c16:uniqueId val="{00000000-086D-4EC6-A312-8C47D82E92C7}"/>
            </c:ext>
          </c:extLst>
        </c:ser>
        <c:ser>
          <c:idx val="1"/>
          <c:order val="1"/>
          <c:cat>
            <c:strRef>
              <c:f>'Modelo de egresos'!$B$6:$B$8</c:f>
              <c:strCache>
                <c:ptCount val="3"/>
                <c:pt idx="0">
                  <c:v>Costos fijos</c:v>
                </c:pt>
                <c:pt idx="1">
                  <c:v>Costos variables</c:v>
                </c:pt>
                <c:pt idx="2">
                  <c:v>Costos RRHH</c:v>
                </c:pt>
              </c:strCache>
            </c:strRef>
          </c:cat>
          <c:val>
            <c:numRef>
              <c:f>'Modelo de egresos'!$D$6:$D$8</c:f>
              <c:numCache>
                <c:formatCode>_-[$$-2C0A]\ * #,##0.00_-;\-[$$-2C0A]\ * #,##0.00_-;_-[$$-2C0A]\ * "-"??_-;_-@_-</c:formatCode>
                <c:ptCount val="3"/>
                <c:pt idx="0">
                  <c:v>7891200</c:v>
                </c:pt>
                <c:pt idx="1">
                  <c:v>9615240</c:v>
                </c:pt>
                <c:pt idx="2">
                  <c:v>31080950.586450003</c:v>
                </c:pt>
              </c:numCache>
            </c:numRef>
          </c:val>
          <c:extLst>
            <c:ext xmlns:c16="http://schemas.microsoft.com/office/drawing/2014/chart" uri="{C3380CC4-5D6E-409C-BE32-E72D297353CC}">
              <c16:uniqueId val="{00000001-086D-4EC6-A312-8C47D82E92C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000000000000222" l="0.70000000000000062" r="0.70000000000000062" t="0.75000000000000222"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'Modelo de egresos'!$B$20:$C$22</c:f>
              <c:strCache>
                <c:ptCount val="3"/>
                <c:pt idx="0">
                  <c:v>Costos fijos</c:v>
                </c:pt>
                <c:pt idx="1">
                  <c:v>Costos variables</c:v>
                </c:pt>
                <c:pt idx="2">
                  <c:v>Costos RRHH</c:v>
                </c:pt>
              </c:strCache>
            </c:strRef>
          </c:cat>
          <c:val>
            <c:numRef>
              <c:f>'Modelo de egresos'!$D$20:$D$22</c:f>
              <c:numCache>
                <c:formatCode>_-[$$-2C0A]\ * #,##0.00_-;\-[$$-2C0A]\ * #,##0.00_-;_-[$$-2C0A]\ * "-"??_-;_-@_-</c:formatCode>
                <c:ptCount val="3"/>
                <c:pt idx="0">
                  <c:v>18914400</c:v>
                </c:pt>
                <c:pt idx="1">
                  <c:v>27417700</c:v>
                </c:pt>
                <c:pt idx="2">
                  <c:v>65028176.810399979</c:v>
                </c:pt>
              </c:numCache>
            </c:numRef>
          </c:val>
          <c:extLst>
            <c:ext xmlns:c16="http://schemas.microsoft.com/office/drawing/2014/chart" uri="{C3380CC4-5D6E-409C-BE32-E72D297353CC}">
              <c16:uniqueId val="{00000000-3EFC-42BE-9B00-E3FA7B96022E}"/>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s-AR"/>
        </a:p>
      </c:txPr>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20.emf"/><Relationship Id="rId18" Type="http://schemas.openxmlformats.org/officeDocument/2006/relationships/image" Target="../media/image25.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9.emf"/><Relationship Id="rId17" Type="http://schemas.openxmlformats.org/officeDocument/2006/relationships/image" Target="../media/image24.emf"/><Relationship Id="rId2" Type="http://schemas.openxmlformats.org/officeDocument/2006/relationships/image" Target="../media/image9.emf"/><Relationship Id="rId16" Type="http://schemas.openxmlformats.org/officeDocument/2006/relationships/image" Target="../media/image23.emf"/><Relationship Id="rId1" Type="http://schemas.openxmlformats.org/officeDocument/2006/relationships/image" Target="../media/image8.emf"/><Relationship Id="rId6" Type="http://schemas.openxmlformats.org/officeDocument/2006/relationships/image" Target="../media/image13.emf"/><Relationship Id="rId11" Type="http://schemas.openxmlformats.org/officeDocument/2006/relationships/image" Target="../media/image18.emf"/><Relationship Id="rId5" Type="http://schemas.openxmlformats.org/officeDocument/2006/relationships/image" Target="../media/image12.emf"/><Relationship Id="rId15" Type="http://schemas.openxmlformats.org/officeDocument/2006/relationships/image" Target="../media/image22.emf"/><Relationship Id="rId10" Type="http://schemas.openxmlformats.org/officeDocument/2006/relationships/image" Target="../media/image17.emf"/><Relationship Id="rId19" Type="http://schemas.openxmlformats.org/officeDocument/2006/relationships/image" Target="../media/image26.emf"/><Relationship Id="rId4" Type="http://schemas.openxmlformats.org/officeDocument/2006/relationships/image" Target="../media/image11.emf"/><Relationship Id="rId9" Type="http://schemas.openxmlformats.org/officeDocument/2006/relationships/image" Target="../media/image16.emf"/><Relationship Id="rId14" Type="http://schemas.openxmlformats.org/officeDocument/2006/relationships/image" Target="../media/image2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5" Type="http://schemas.openxmlformats.org/officeDocument/2006/relationships/image" Target="../media/image31.emf"/><Relationship Id="rId4" Type="http://schemas.openxmlformats.org/officeDocument/2006/relationships/image" Target="../media/image3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 Id="rId4" Type="http://schemas.openxmlformats.org/officeDocument/2006/relationships/image" Target="../media/image3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drawing1.xml><?xml version="1.0" encoding="utf-8"?>
<xdr:wsDr xmlns:xdr="http://schemas.openxmlformats.org/drawingml/2006/spreadsheetDrawing" xmlns:a="http://schemas.openxmlformats.org/drawingml/2006/main">
  <xdr:twoCellAnchor>
    <xdr:from>
      <xdr:col>4</xdr:col>
      <xdr:colOff>0</xdr:colOff>
      <xdr:row>4</xdr:row>
      <xdr:rowOff>171450</xdr:rowOff>
    </xdr:from>
    <xdr:to>
      <xdr:col>15</xdr:col>
      <xdr:colOff>552450</xdr:colOff>
      <xdr:row>12</xdr:row>
      <xdr:rowOff>35263</xdr:rowOff>
    </xdr:to>
    <xdr:sp macro="" textlink="">
      <xdr:nvSpPr>
        <xdr:cNvPr id="1025" name="WordArt 1">
          <a:extLst>
            <a:ext uri="{FF2B5EF4-FFF2-40B4-BE49-F238E27FC236}">
              <a16:creationId xmlns:a16="http://schemas.microsoft.com/office/drawing/2014/main" id="{00000000-0008-0000-0000-000001040000}"/>
            </a:ext>
          </a:extLst>
        </xdr:cNvPr>
        <xdr:cNvSpPr>
          <a:spLocks noChangeArrowheads="1" noChangeShapeType="1" noTextEdit="1"/>
        </xdr:cNvSpPr>
      </xdr:nvSpPr>
      <xdr:spPr bwMode="auto">
        <a:xfrm>
          <a:off x="3048000" y="933450"/>
          <a:ext cx="8934450" cy="1406863"/>
        </a:xfrm>
        <a:prstGeom prst="rect">
          <a:avLst/>
        </a:prstGeom>
      </xdr:spPr>
      <xdr:txBody>
        <a:bodyPr wrap="none" fromWordArt="1">
          <a:prstTxWarp prst="textPlain">
            <a:avLst>
              <a:gd name="adj" fmla="val 48789"/>
            </a:avLst>
          </a:prstTxWarp>
          <a:scene3d>
            <a:camera prst="legacyPerspectiveBottomRight">
              <a:rot lat="0" lon="21239999" rev="0"/>
            </a:camera>
            <a:lightRig rig="legacyHarsh3" dir="l"/>
          </a:scene3d>
          <a:sp3d extrusionH="430200" prstMaterial="legacyMatte">
            <a:extrusionClr>
              <a:srgbClr val="C0C0C0"/>
            </a:extrusionClr>
          </a:sp3d>
        </a:bodyPr>
        <a:lstStyle/>
        <a:p>
          <a:pPr algn="ctr" rtl="0"/>
          <a:endParaRPr lang="es-AR" sz="3600" kern="10" spc="0">
            <a:ln w="9525">
              <a:round/>
              <a:headEnd/>
              <a:tailEnd/>
            </a:ln>
            <a:gradFill rotWithShape="0">
              <a:gsLst>
                <a:gs pos="0">
                  <a:srgbClr val="DCEBF5"/>
                </a:gs>
                <a:gs pos="8000">
                  <a:srgbClr val="83A7C3"/>
                </a:gs>
                <a:gs pos="13000">
                  <a:srgbClr val="768FB9"/>
                </a:gs>
                <a:gs pos="21001">
                  <a:srgbClr val="83A7C3"/>
                </a:gs>
                <a:gs pos="52000">
                  <a:srgbClr val="FFFFFF"/>
                </a:gs>
                <a:gs pos="56000">
                  <a:srgbClr val="9C6563"/>
                </a:gs>
                <a:gs pos="58000">
                  <a:srgbClr val="80302D"/>
                </a:gs>
                <a:gs pos="71001">
                  <a:srgbClr val="C0524E"/>
                </a:gs>
                <a:gs pos="94000">
                  <a:srgbClr val="EBDAD4"/>
                </a:gs>
                <a:gs pos="100000">
                  <a:srgbClr val="55261C"/>
                </a:gs>
              </a:gsLst>
              <a:lin ang="5400000" scaled="1"/>
            </a:gradFill>
            <a:effectLst/>
            <a:latin typeface="Arial Black"/>
          </a:endParaRPr>
        </a:p>
      </xdr:txBody>
    </xdr:sp>
    <xdr:clientData/>
  </xdr:twoCellAnchor>
  <mc:AlternateContent xmlns:mc="http://schemas.openxmlformats.org/markup-compatibility/2006">
    <mc:Choice xmlns:a14="http://schemas.microsoft.com/office/drawing/2010/main" Requires="a14">
      <xdr:twoCellAnchor editAs="oneCell">
        <xdr:from>
          <xdr:col>11</xdr:col>
          <xdr:colOff>594360</xdr:colOff>
          <xdr:row>46</xdr:row>
          <xdr:rowOff>106680</xdr:rowOff>
        </xdr:from>
        <xdr:to>
          <xdr:col>15</xdr:col>
          <xdr:colOff>419100</xdr:colOff>
          <xdr:row>49</xdr:row>
          <xdr:rowOff>144780</xdr:rowOff>
        </xdr:to>
        <xdr:sp macro="" textlink="">
          <xdr:nvSpPr>
            <xdr:cNvPr id="1026" name="btnIndic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16</xdr:col>
      <xdr:colOff>243840</xdr:colOff>
      <xdr:row>20</xdr:row>
      <xdr:rowOff>76200</xdr:rowOff>
    </xdr:from>
    <xdr:to>
      <xdr:col>20</xdr:col>
      <xdr:colOff>676799</xdr:colOff>
      <xdr:row>39</xdr:row>
      <xdr:rowOff>133963</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23520" y="3779520"/>
          <a:ext cx="3602879" cy="3532483"/>
        </a:xfrm>
        <a:prstGeom prst="rect">
          <a:avLst/>
        </a:prstGeom>
      </xdr:spPr>
    </xdr:pic>
    <xdr:clientData/>
  </xdr:twoCellAnchor>
  <xdr:twoCellAnchor editAs="oneCell">
    <xdr:from>
      <xdr:col>8</xdr:col>
      <xdr:colOff>60960</xdr:colOff>
      <xdr:row>20</xdr:row>
      <xdr:rowOff>30480</xdr:rowOff>
    </xdr:from>
    <xdr:to>
      <xdr:col>10</xdr:col>
      <xdr:colOff>583104</xdr:colOff>
      <xdr:row>31</xdr:row>
      <xdr:rowOff>38321</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400800" y="3733800"/>
          <a:ext cx="2107104" cy="201952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533400</xdr:colOff>
      <xdr:row>19</xdr:row>
      <xdr:rowOff>171450</xdr:rowOff>
    </xdr:from>
    <xdr:to>
      <xdr:col>13</xdr:col>
      <xdr:colOff>200025</xdr:colOff>
      <xdr:row>25</xdr:row>
      <xdr:rowOff>0</xdr:rowOff>
    </xdr:to>
    <xdr:graphicFrame macro="">
      <xdr:nvGraphicFramePr>
        <xdr:cNvPr id="3" name="2 Gráfico">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441960</xdr:colOff>
          <xdr:row>0</xdr:row>
          <xdr:rowOff>106680</xdr:rowOff>
        </xdr:from>
        <xdr:to>
          <xdr:col>2</xdr:col>
          <xdr:colOff>121920</xdr:colOff>
          <xdr:row>2</xdr:row>
          <xdr:rowOff>38100</xdr:rowOff>
        </xdr:to>
        <xdr:sp macro="" textlink="">
          <xdr:nvSpPr>
            <xdr:cNvPr id="4097" name="btnIndice"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0</xdr:row>
          <xdr:rowOff>106680</xdr:rowOff>
        </xdr:from>
        <xdr:to>
          <xdr:col>13</xdr:col>
          <xdr:colOff>312420</xdr:colOff>
          <xdr:row>2</xdr:row>
          <xdr:rowOff>38100</xdr:rowOff>
        </xdr:to>
        <xdr:sp macro="" textlink="">
          <xdr:nvSpPr>
            <xdr:cNvPr id="4098" name="btnAnterior"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0</xdr:row>
          <xdr:rowOff>106680</xdr:rowOff>
        </xdr:from>
        <xdr:to>
          <xdr:col>15</xdr:col>
          <xdr:colOff>373380</xdr:colOff>
          <xdr:row>2</xdr:row>
          <xdr:rowOff>38100</xdr:rowOff>
        </xdr:to>
        <xdr:sp macro="" textlink="">
          <xdr:nvSpPr>
            <xdr:cNvPr id="4099" name="btnSiguiente"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561474</xdr:colOff>
      <xdr:row>32</xdr:row>
      <xdr:rowOff>250658</xdr:rowOff>
    </xdr:from>
    <xdr:to>
      <xdr:col>7</xdr:col>
      <xdr:colOff>1004639</xdr:colOff>
      <xdr:row>50</xdr:row>
      <xdr:rowOff>64940</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3900237" y="10086474"/>
          <a:ext cx="5586665" cy="34438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601980</xdr:colOff>
          <xdr:row>0</xdr:row>
          <xdr:rowOff>121920</xdr:rowOff>
        </xdr:from>
        <xdr:to>
          <xdr:col>2</xdr:col>
          <xdr:colOff>685800</xdr:colOff>
          <xdr:row>2</xdr:row>
          <xdr:rowOff>53340</xdr:rowOff>
        </xdr:to>
        <xdr:sp macro="" textlink="">
          <xdr:nvSpPr>
            <xdr:cNvPr id="2062" name="btnCaratula"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22860</xdr:rowOff>
        </xdr:from>
        <xdr:to>
          <xdr:col>5</xdr:col>
          <xdr:colOff>693420</xdr:colOff>
          <xdr:row>7</xdr:row>
          <xdr:rowOff>137160</xdr:rowOff>
        </xdr:to>
        <xdr:sp macro="" textlink="">
          <xdr:nvSpPr>
            <xdr:cNvPr id="2063" name="btnHipotesis"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38100</xdr:rowOff>
        </xdr:from>
        <xdr:to>
          <xdr:col>6</xdr:col>
          <xdr:colOff>15240</xdr:colOff>
          <xdr:row>9</xdr:row>
          <xdr:rowOff>121920</xdr:rowOff>
        </xdr:to>
        <xdr:sp macro="" textlink="">
          <xdr:nvSpPr>
            <xdr:cNvPr id="2064" name="btnProyeccionVentas"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91440</xdr:rowOff>
        </xdr:from>
        <xdr:to>
          <xdr:col>6</xdr:col>
          <xdr:colOff>15240</xdr:colOff>
          <xdr:row>16</xdr:row>
          <xdr:rowOff>22860</xdr:rowOff>
        </xdr:to>
        <xdr:sp macro="" textlink="">
          <xdr:nvSpPr>
            <xdr:cNvPr id="2065" name="btnModEgresoCoFijo"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68580</xdr:rowOff>
        </xdr:from>
        <xdr:to>
          <xdr:col>5</xdr:col>
          <xdr:colOff>693420</xdr:colOff>
          <xdr:row>14</xdr:row>
          <xdr:rowOff>0</xdr:rowOff>
        </xdr:to>
        <xdr:sp macro="" textlink="">
          <xdr:nvSpPr>
            <xdr:cNvPr id="2066" name="btnModeloIngresos"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45720</xdr:rowOff>
        </xdr:from>
        <xdr:to>
          <xdr:col>6</xdr:col>
          <xdr:colOff>15240</xdr:colOff>
          <xdr:row>11</xdr:row>
          <xdr:rowOff>129540</xdr:rowOff>
        </xdr:to>
        <xdr:sp macro="" textlink="">
          <xdr:nvSpPr>
            <xdr:cNvPr id="2067" name="btnCapacidadOp"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83820</xdr:rowOff>
        </xdr:from>
        <xdr:to>
          <xdr:col>6</xdr:col>
          <xdr:colOff>15240</xdr:colOff>
          <xdr:row>18</xdr:row>
          <xdr:rowOff>15240</xdr:rowOff>
        </xdr:to>
        <xdr:sp macro="" textlink="">
          <xdr:nvSpPr>
            <xdr:cNvPr id="2068" name="btnModEgresoCoVariable"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68580</xdr:rowOff>
        </xdr:from>
        <xdr:to>
          <xdr:col>6</xdr:col>
          <xdr:colOff>15240</xdr:colOff>
          <xdr:row>20</xdr:row>
          <xdr:rowOff>0</xdr:rowOff>
        </xdr:to>
        <xdr:sp macro="" textlink="">
          <xdr:nvSpPr>
            <xdr:cNvPr id="2069" name="btnModDeEgresosCoRRHH"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60960</xdr:rowOff>
        </xdr:from>
        <xdr:to>
          <xdr:col>6</xdr:col>
          <xdr:colOff>15240</xdr:colOff>
          <xdr:row>21</xdr:row>
          <xdr:rowOff>144780</xdr:rowOff>
        </xdr:to>
        <xdr:sp macro="" textlink="">
          <xdr:nvSpPr>
            <xdr:cNvPr id="2070" name="btnModeloDeEgresos"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76200</xdr:rowOff>
        </xdr:from>
        <xdr:to>
          <xdr:col>6</xdr:col>
          <xdr:colOff>15240</xdr:colOff>
          <xdr:row>24</xdr:row>
          <xdr:rowOff>7620</xdr:rowOff>
        </xdr:to>
        <xdr:sp macro="" textlink="">
          <xdr:nvSpPr>
            <xdr:cNvPr id="2071" name="btnModeloDeInversion"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76200</xdr:rowOff>
        </xdr:from>
        <xdr:to>
          <xdr:col>5</xdr:col>
          <xdr:colOff>693420</xdr:colOff>
          <xdr:row>26</xdr:row>
          <xdr:rowOff>7620</xdr:rowOff>
        </xdr:to>
        <xdr:sp macro="" textlink="">
          <xdr:nvSpPr>
            <xdr:cNvPr id="2072" name="btnAmortizacion"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68580</xdr:rowOff>
        </xdr:from>
        <xdr:to>
          <xdr:col>5</xdr:col>
          <xdr:colOff>693420</xdr:colOff>
          <xdr:row>28</xdr:row>
          <xdr:rowOff>0</xdr:rowOff>
        </xdr:to>
        <xdr:sp macro="" textlink="">
          <xdr:nvSpPr>
            <xdr:cNvPr id="2073" name="btnPresupuestoFinanciero"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28</xdr:row>
          <xdr:rowOff>83820</xdr:rowOff>
        </xdr:from>
        <xdr:to>
          <xdr:col>5</xdr:col>
          <xdr:colOff>693420</xdr:colOff>
          <xdr:row>30</xdr:row>
          <xdr:rowOff>15240</xdr:rowOff>
        </xdr:to>
        <xdr:sp macro="" textlink="">
          <xdr:nvSpPr>
            <xdr:cNvPr id="2074" name="btnMatrizDeRiesgo"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32</xdr:row>
          <xdr:rowOff>7620</xdr:rowOff>
        </xdr:from>
        <xdr:to>
          <xdr:col>2</xdr:col>
          <xdr:colOff>236220</xdr:colOff>
          <xdr:row>32</xdr:row>
          <xdr:rowOff>15240</xdr:rowOff>
        </xdr:to>
        <xdr:sp macro="" textlink="">
          <xdr:nvSpPr>
            <xdr:cNvPr id="2075" name="CommandButton3"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76200</xdr:rowOff>
        </xdr:from>
        <xdr:to>
          <xdr:col>5</xdr:col>
          <xdr:colOff>693420</xdr:colOff>
          <xdr:row>32</xdr:row>
          <xdr:rowOff>7620</xdr:rowOff>
        </xdr:to>
        <xdr:sp macro="" textlink="">
          <xdr:nvSpPr>
            <xdr:cNvPr id="2076" name="btnEscenario1"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30480</xdr:rowOff>
        </xdr:from>
        <xdr:to>
          <xdr:col>6</xdr:col>
          <xdr:colOff>15240</xdr:colOff>
          <xdr:row>35</xdr:row>
          <xdr:rowOff>114300</xdr:rowOff>
        </xdr:to>
        <xdr:sp macro="" textlink="">
          <xdr:nvSpPr>
            <xdr:cNvPr id="2077" name="btnEscenario3"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53340</xdr:rowOff>
        </xdr:from>
        <xdr:to>
          <xdr:col>5</xdr:col>
          <xdr:colOff>693420</xdr:colOff>
          <xdr:row>33</xdr:row>
          <xdr:rowOff>167640</xdr:rowOff>
        </xdr:to>
        <xdr:sp macro="" textlink="">
          <xdr:nvSpPr>
            <xdr:cNvPr id="2078" name="btnEscenario2"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36</xdr:row>
          <xdr:rowOff>7620</xdr:rowOff>
        </xdr:from>
        <xdr:to>
          <xdr:col>5</xdr:col>
          <xdr:colOff>502920</xdr:colOff>
          <xdr:row>37</xdr:row>
          <xdr:rowOff>121920</xdr:rowOff>
        </xdr:to>
        <xdr:sp macro="" textlink="">
          <xdr:nvSpPr>
            <xdr:cNvPr id="2081" name="btnPlanDeContingencia"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601980</xdr:colOff>
          <xdr:row>37</xdr:row>
          <xdr:rowOff>144780</xdr:rowOff>
        </xdr:from>
        <xdr:to>
          <xdr:col>5</xdr:col>
          <xdr:colOff>502920</xdr:colOff>
          <xdr:row>39</xdr:row>
          <xdr:rowOff>76200</xdr:rowOff>
        </xdr:to>
        <xdr:sp macro="" textlink="">
          <xdr:nvSpPr>
            <xdr:cNvPr id="2082" name="btnHojaAuxiliar"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28</xdr:col>
      <xdr:colOff>182510</xdr:colOff>
      <xdr:row>34</xdr:row>
      <xdr:rowOff>30726</xdr:rowOff>
    </xdr:from>
    <xdr:to>
      <xdr:col>39</xdr:col>
      <xdr:colOff>706385</xdr:colOff>
      <xdr:row>50</xdr:row>
      <xdr:rowOff>19049</xdr:rowOff>
    </xdr:to>
    <xdr:graphicFrame macro="">
      <xdr:nvGraphicFramePr>
        <xdr:cNvPr id="13" name="Gráfico 5">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228601</xdr:colOff>
      <xdr:row>85</xdr:row>
      <xdr:rowOff>0</xdr:rowOff>
    </xdr:from>
    <xdr:to>
      <xdr:col>40</xdr:col>
      <xdr:colOff>57151</xdr:colOff>
      <xdr:row>101</xdr:row>
      <xdr:rowOff>0</xdr:rowOff>
    </xdr:to>
    <xdr:graphicFrame macro="">
      <xdr:nvGraphicFramePr>
        <xdr:cNvPr id="14" name="Gráfico 5">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247651</xdr:colOff>
      <xdr:row>136</xdr:row>
      <xdr:rowOff>199717</xdr:rowOff>
    </xdr:from>
    <xdr:to>
      <xdr:col>40</xdr:col>
      <xdr:colOff>133351</xdr:colOff>
      <xdr:row>152</xdr:row>
      <xdr:rowOff>199717</xdr:rowOff>
    </xdr:to>
    <xdr:graphicFrame macro="">
      <xdr:nvGraphicFramePr>
        <xdr:cNvPr id="15" name="Gráfico 5">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259080</xdr:colOff>
          <xdr:row>0</xdr:row>
          <xdr:rowOff>106680</xdr:rowOff>
        </xdr:from>
        <xdr:to>
          <xdr:col>0</xdr:col>
          <xdr:colOff>1927860</xdr:colOff>
          <xdr:row>0</xdr:row>
          <xdr:rowOff>403860</xdr:rowOff>
        </xdr:to>
        <xdr:sp macro="" textlink="">
          <xdr:nvSpPr>
            <xdr:cNvPr id="6145" name="btnIndice"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449580</xdr:colOff>
          <xdr:row>0</xdr:row>
          <xdr:rowOff>106680</xdr:rowOff>
        </xdr:from>
        <xdr:to>
          <xdr:col>11</xdr:col>
          <xdr:colOff>1021080</xdr:colOff>
          <xdr:row>0</xdr:row>
          <xdr:rowOff>403860</xdr:rowOff>
        </xdr:to>
        <xdr:sp macro="" textlink="">
          <xdr:nvSpPr>
            <xdr:cNvPr id="6146" name="btnAnterior"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982980</xdr:colOff>
          <xdr:row>0</xdr:row>
          <xdr:rowOff>106680</xdr:rowOff>
        </xdr:from>
        <xdr:to>
          <xdr:col>13</xdr:col>
          <xdr:colOff>160020</xdr:colOff>
          <xdr:row>0</xdr:row>
          <xdr:rowOff>403860</xdr:rowOff>
        </xdr:to>
        <xdr:sp macro="" textlink="">
          <xdr:nvSpPr>
            <xdr:cNvPr id="6147" name="btnSiguiente"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655320</xdr:colOff>
          <xdr:row>60</xdr:row>
          <xdr:rowOff>91440</xdr:rowOff>
        </xdr:from>
        <xdr:to>
          <xdr:col>1</xdr:col>
          <xdr:colOff>60960</xdr:colOff>
          <xdr:row>62</xdr:row>
          <xdr:rowOff>22860</xdr:rowOff>
        </xdr:to>
        <xdr:sp macro="" textlink="">
          <xdr:nvSpPr>
            <xdr:cNvPr id="6148" name="btnCOp1"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723900</xdr:colOff>
          <xdr:row>112</xdr:row>
          <xdr:rowOff>53340</xdr:rowOff>
        </xdr:from>
        <xdr:to>
          <xdr:col>1</xdr:col>
          <xdr:colOff>129540</xdr:colOff>
          <xdr:row>113</xdr:row>
          <xdr:rowOff>167640</xdr:rowOff>
        </xdr:to>
        <xdr:sp macro="" textlink="">
          <xdr:nvSpPr>
            <xdr:cNvPr id="6149" name="btnCOp2"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723900</xdr:colOff>
          <xdr:row>164</xdr:row>
          <xdr:rowOff>106680</xdr:rowOff>
        </xdr:from>
        <xdr:to>
          <xdr:col>1</xdr:col>
          <xdr:colOff>129540</xdr:colOff>
          <xdr:row>166</xdr:row>
          <xdr:rowOff>38100</xdr:rowOff>
        </xdr:to>
        <xdr:sp macro="" textlink="">
          <xdr:nvSpPr>
            <xdr:cNvPr id="6150" name="btnCOp3"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259080</xdr:colOff>
          <xdr:row>0</xdr:row>
          <xdr:rowOff>106680</xdr:rowOff>
        </xdr:from>
        <xdr:to>
          <xdr:col>3</xdr:col>
          <xdr:colOff>342900</xdr:colOff>
          <xdr:row>0</xdr:row>
          <xdr:rowOff>403860</xdr:rowOff>
        </xdr:to>
        <xdr:sp macro="" textlink="">
          <xdr:nvSpPr>
            <xdr:cNvPr id="7169" name="btnIndice"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388620</xdr:colOff>
          <xdr:row>0</xdr:row>
          <xdr:rowOff>106680</xdr:rowOff>
        </xdr:from>
        <xdr:to>
          <xdr:col>11</xdr:col>
          <xdr:colOff>441960</xdr:colOff>
          <xdr:row>0</xdr:row>
          <xdr:rowOff>403860</xdr:rowOff>
        </xdr:to>
        <xdr:sp macro="" textlink="">
          <xdr:nvSpPr>
            <xdr:cNvPr id="7170" name="btnAnterio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579120</xdr:colOff>
          <xdr:row>0</xdr:row>
          <xdr:rowOff>106680</xdr:rowOff>
        </xdr:from>
        <xdr:to>
          <xdr:col>12</xdr:col>
          <xdr:colOff>975360</xdr:colOff>
          <xdr:row>0</xdr:row>
          <xdr:rowOff>403860</xdr:rowOff>
        </xdr:to>
        <xdr:sp macro="" textlink="">
          <xdr:nvSpPr>
            <xdr:cNvPr id="7171" name="btnSiguiente"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60960</xdr:rowOff>
        </xdr:from>
        <xdr:to>
          <xdr:col>3</xdr:col>
          <xdr:colOff>2308860</xdr:colOff>
          <xdr:row>3</xdr:row>
          <xdr:rowOff>198120</xdr:rowOff>
        </xdr:to>
        <xdr:sp macro="" textlink="">
          <xdr:nvSpPr>
            <xdr:cNvPr id="7175" name="btnVolverPV3"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447675</xdr:colOff>
      <xdr:row>20</xdr:row>
      <xdr:rowOff>152400</xdr:rowOff>
    </xdr:from>
    <xdr:to>
      <xdr:col>4</xdr:col>
      <xdr:colOff>952500</xdr:colOff>
      <xdr:row>35</xdr:row>
      <xdr:rowOff>28575</xdr:rowOff>
    </xdr:to>
    <xdr:graphicFrame macro="">
      <xdr:nvGraphicFramePr>
        <xdr:cNvPr id="12" name="11 Gráfico">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243840</xdr:colOff>
          <xdr:row>0</xdr:row>
          <xdr:rowOff>106680</xdr:rowOff>
        </xdr:from>
        <xdr:to>
          <xdr:col>2</xdr:col>
          <xdr:colOff>243840</xdr:colOff>
          <xdr:row>0</xdr:row>
          <xdr:rowOff>403860</xdr:rowOff>
        </xdr:to>
        <xdr:sp macro="" textlink="">
          <xdr:nvSpPr>
            <xdr:cNvPr id="8193" name="btnIndice"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30480</xdr:colOff>
          <xdr:row>0</xdr:row>
          <xdr:rowOff>106680</xdr:rowOff>
        </xdr:from>
        <xdr:to>
          <xdr:col>13</xdr:col>
          <xdr:colOff>114300</xdr:colOff>
          <xdr:row>0</xdr:row>
          <xdr:rowOff>403860</xdr:rowOff>
        </xdr:to>
        <xdr:sp macro="" textlink="">
          <xdr:nvSpPr>
            <xdr:cNvPr id="8194" name="btnAnterior"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365760</xdr:colOff>
          <xdr:row>0</xdr:row>
          <xdr:rowOff>106680</xdr:rowOff>
        </xdr:from>
        <xdr:to>
          <xdr:col>15</xdr:col>
          <xdr:colOff>449580</xdr:colOff>
          <xdr:row>0</xdr:row>
          <xdr:rowOff>403860</xdr:rowOff>
        </xdr:to>
        <xdr:sp macro="" textlink="">
          <xdr:nvSpPr>
            <xdr:cNvPr id="8195" name="btnSiguiente" hidden="1">
              <a:extLst>
                <a:ext uri="{63B3BB69-23CF-44E3-9099-C40C66FF867C}">
                  <a14:compatExt spid="_x0000_s8195"/>
                </a:ext>
                <a:ext uri="{FF2B5EF4-FFF2-40B4-BE49-F238E27FC236}">
                  <a16:creationId xmlns:a16="http://schemas.microsoft.com/office/drawing/2014/main" id="{00000000-0008-0000-05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220980</xdr:colOff>
          <xdr:row>0</xdr:row>
          <xdr:rowOff>121920</xdr:rowOff>
        </xdr:from>
        <xdr:to>
          <xdr:col>3</xdr:col>
          <xdr:colOff>304800</xdr:colOff>
          <xdr:row>2</xdr:row>
          <xdr:rowOff>53340</xdr:rowOff>
        </xdr:to>
        <xdr:sp macro="" textlink="">
          <xdr:nvSpPr>
            <xdr:cNvPr id="10241" name="btnIndice"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137160</xdr:colOff>
          <xdr:row>0</xdr:row>
          <xdr:rowOff>106680</xdr:rowOff>
        </xdr:from>
        <xdr:to>
          <xdr:col>12</xdr:col>
          <xdr:colOff>784860</xdr:colOff>
          <xdr:row>2</xdr:row>
          <xdr:rowOff>38100</xdr:rowOff>
        </xdr:to>
        <xdr:sp macro="" textlink="">
          <xdr:nvSpPr>
            <xdr:cNvPr id="10242" name="btnAnterior"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0</xdr:row>
          <xdr:rowOff>99060</xdr:rowOff>
        </xdr:from>
        <xdr:to>
          <xdr:col>14</xdr:col>
          <xdr:colOff>769620</xdr:colOff>
          <xdr:row>2</xdr:row>
          <xdr:rowOff>30480</xdr:rowOff>
        </xdr:to>
        <xdr:sp macro="" textlink="">
          <xdr:nvSpPr>
            <xdr:cNvPr id="10243" name="btnSiguiente"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0</xdr:row>
          <xdr:rowOff>106680</xdr:rowOff>
        </xdr:from>
        <xdr:to>
          <xdr:col>1</xdr:col>
          <xdr:colOff>640080</xdr:colOff>
          <xdr:row>0</xdr:row>
          <xdr:rowOff>403860</xdr:rowOff>
        </xdr:to>
        <xdr:sp macro="" textlink="">
          <xdr:nvSpPr>
            <xdr:cNvPr id="5121" name="btnIndice"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236220</xdr:colOff>
          <xdr:row>0</xdr:row>
          <xdr:rowOff>106680</xdr:rowOff>
        </xdr:from>
        <xdr:to>
          <xdr:col>12</xdr:col>
          <xdr:colOff>388620</xdr:colOff>
          <xdr:row>0</xdr:row>
          <xdr:rowOff>403860</xdr:rowOff>
        </xdr:to>
        <xdr:sp macro="" textlink="">
          <xdr:nvSpPr>
            <xdr:cNvPr id="5122" name="btnAnterior"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487680</xdr:colOff>
          <xdr:row>0</xdr:row>
          <xdr:rowOff>99060</xdr:rowOff>
        </xdr:from>
        <xdr:to>
          <xdr:col>14</xdr:col>
          <xdr:colOff>220980</xdr:colOff>
          <xdr:row>0</xdr:row>
          <xdr:rowOff>396240</xdr:rowOff>
        </xdr:to>
        <xdr:sp macro="" textlink="">
          <xdr:nvSpPr>
            <xdr:cNvPr id="5123" name="btnSiguiente" hidden="1">
              <a:extLst>
                <a:ext uri="{63B3BB69-23CF-44E3-9099-C40C66FF867C}">
                  <a14:compatExt spid="_x0000_s5123"/>
                </a:ext>
                <a:ext uri="{FF2B5EF4-FFF2-40B4-BE49-F238E27FC236}">
                  <a16:creationId xmlns:a16="http://schemas.microsoft.com/office/drawing/2014/main" id="{00000000-0008-0000-07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259080</xdr:colOff>
          <xdr:row>0</xdr:row>
          <xdr:rowOff>91440</xdr:rowOff>
        </xdr:from>
        <xdr:to>
          <xdr:col>2</xdr:col>
          <xdr:colOff>342900</xdr:colOff>
          <xdr:row>0</xdr:row>
          <xdr:rowOff>388620</xdr:rowOff>
        </xdr:to>
        <xdr:sp macro="" textlink="">
          <xdr:nvSpPr>
            <xdr:cNvPr id="12290" name="btnIndice"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xdr:colOff>
          <xdr:row>0</xdr:row>
          <xdr:rowOff>99060</xdr:rowOff>
        </xdr:from>
        <xdr:to>
          <xdr:col>12</xdr:col>
          <xdr:colOff>502920</xdr:colOff>
          <xdr:row>0</xdr:row>
          <xdr:rowOff>396240</xdr:rowOff>
        </xdr:to>
        <xdr:sp macro="" textlink="">
          <xdr:nvSpPr>
            <xdr:cNvPr id="12291" name="btnAnterior" hidden="1">
              <a:extLst>
                <a:ext uri="{63B3BB69-23CF-44E3-9099-C40C66FF867C}">
                  <a14:compatExt spid="_x0000_s12291"/>
                </a:ext>
                <a:ext uri="{FF2B5EF4-FFF2-40B4-BE49-F238E27FC236}">
                  <a16:creationId xmlns:a16="http://schemas.microsoft.com/office/drawing/2014/main" id="{00000000-0008-0000-08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281940</xdr:colOff>
          <xdr:row>0</xdr:row>
          <xdr:rowOff>99060</xdr:rowOff>
        </xdr:from>
        <xdr:to>
          <xdr:col>15</xdr:col>
          <xdr:colOff>60960</xdr:colOff>
          <xdr:row>0</xdr:row>
          <xdr:rowOff>396240</xdr:rowOff>
        </xdr:to>
        <xdr:sp macro="" textlink="">
          <xdr:nvSpPr>
            <xdr:cNvPr id="12292" name="btnSiguiente" hidden="1">
              <a:extLst>
                <a:ext uri="{63B3BB69-23CF-44E3-9099-C40C66FF867C}">
                  <a14:compatExt spid="_x0000_s12292"/>
                </a:ext>
                <a:ext uri="{FF2B5EF4-FFF2-40B4-BE49-F238E27FC236}">
                  <a16:creationId xmlns:a16="http://schemas.microsoft.com/office/drawing/2014/main" id="{00000000-0008-0000-08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4</xdr:col>
      <xdr:colOff>200025</xdr:colOff>
      <xdr:row>2</xdr:row>
      <xdr:rowOff>190501</xdr:rowOff>
    </xdr:from>
    <xdr:to>
      <xdr:col>9</xdr:col>
      <xdr:colOff>666750</xdr:colOff>
      <xdr:row>9</xdr:row>
      <xdr:rowOff>19051</xdr:rowOff>
    </xdr:to>
    <xdr:graphicFrame macro="">
      <xdr:nvGraphicFramePr>
        <xdr:cNvPr id="3" name="2 Gráfico">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10</xdr:row>
      <xdr:rowOff>9525</xdr:rowOff>
    </xdr:from>
    <xdr:to>
      <xdr:col>9</xdr:col>
      <xdr:colOff>657225</xdr:colOff>
      <xdr:row>16</xdr:row>
      <xdr:rowOff>38100</xdr:rowOff>
    </xdr:to>
    <xdr:graphicFrame macro="">
      <xdr:nvGraphicFramePr>
        <xdr:cNvPr id="4" name="3 Gráfico">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171450</xdr:colOff>
      <xdr:row>17</xdr:row>
      <xdr:rowOff>0</xdr:rowOff>
    </xdr:from>
    <xdr:to>
      <xdr:col>9</xdr:col>
      <xdr:colOff>638175</xdr:colOff>
      <xdr:row>23</xdr:row>
      <xdr:rowOff>28575</xdr:rowOff>
    </xdr:to>
    <xdr:graphicFrame macro="">
      <xdr:nvGraphicFramePr>
        <xdr:cNvPr id="5" name="4 Gráfico">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137160</xdr:rowOff>
        </xdr:from>
        <xdr:to>
          <xdr:col>2</xdr:col>
          <xdr:colOff>876300</xdr:colOff>
          <xdr:row>0</xdr:row>
          <xdr:rowOff>434340</xdr:rowOff>
        </xdr:to>
        <xdr:sp macro="" textlink="">
          <xdr:nvSpPr>
            <xdr:cNvPr id="13313" name="btnIndice" hidden="1">
              <a:extLst>
                <a:ext uri="{63B3BB69-23CF-44E3-9099-C40C66FF867C}">
                  <a14:compatExt spid="_x0000_s13313"/>
                </a:ext>
                <a:ext uri="{FF2B5EF4-FFF2-40B4-BE49-F238E27FC236}">
                  <a16:creationId xmlns:a16="http://schemas.microsoft.com/office/drawing/2014/main" id="{00000000-0008-0000-09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0</xdr:row>
          <xdr:rowOff>137160</xdr:rowOff>
        </xdr:from>
        <xdr:to>
          <xdr:col>13</xdr:col>
          <xdr:colOff>312420</xdr:colOff>
          <xdr:row>0</xdr:row>
          <xdr:rowOff>434340</xdr:rowOff>
        </xdr:to>
        <xdr:sp macro="" textlink="">
          <xdr:nvSpPr>
            <xdr:cNvPr id="13314" name="btnAnterior"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502920</xdr:colOff>
          <xdr:row>0</xdr:row>
          <xdr:rowOff>137160</xdr:rowOff>
        </xdr:from>
        <xdr:to>
          <xdr:col>15</xdr:col>
          <xdr:colOff>586740</xdr:colOff>
          <xdr:row>0</xdr:row>
          <xdr:rowOff>434340</xdr:rowOff>
        </xdr:to>
        <xdr:sp macro="" textlink="">
          <xdr:nvSpPr>
            <xdr:cNvPr id="13315" name="btnSiguiente"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510540</xdr:colOff>
          <xdr:row>0</xdr:row>
          <xdr:rowOff>144780</xdr:rowOff>
        </xdr:from>
        <xdr:to>
          <xdr:col>1</xdr:col>
          <xdr:colOff>1386840</xdr:colOff>
          <xdr:row>0</xdr:row>
          <xdr:rowOff>441960</xdr:rowOff>
        </xdr:to>
        <xdr:sp macro="" textlink="">
          <xdr:nvSpPr>
            <xdr:cNvPr id="14337" name="btnIndice" hidden="1">
              <a:extLst>
                <a:ext uri="{63B3BB69-23CF-44E3-9099-C40C66FF867C}">
                  <a14:compatExt spid="_x0000_s14337"/>
                </a:ext>
                <a:ext uri="{FF2B5EF4-FFF2-40B4-BE49-F238E27FC236}">
                  <a16:creationId xmlns:a16="http://schemas.microsoft.com/office/drawing/2014/main" id="{00000000-0008-0000-0A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480060</xdr:colOff>
          <xdr:row>0</xdr:row>
          <xdr:rowOff>144780</xdr:rowOff>
        </xdr:from>
        <xdr:to>
          <xdr:col>13</xdr:col>
          <xdr:colOff>563880</xdr:colOff>
          <xdr:row>0</xdr:row>
          <xdr:rowOff>441960</xdr:rowOff>
        </xdr:to>
        <xdr:sp macro="" textlink="">
          <xdr:nvSpPr>
            <xdr:cNvPr id="14338" name="btnAnterior"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45720</xdr:colOff>
          <xdr:row>0</xdr:row>
          <xdr:rowOff>144780</xdr:rowOff>
        </xdr:from>
        <xdr:to>
          <xdr:col>16</xdr:col>
          <xdr:colOff>129540</xdr:colOff>
          <xdr:row>0</xdr:row>
          <xdr:rowOff>441960</xdr:rowOff>
        </xdr:to>
        <xdr:sp macro="" textlink="">
          <xdr:nvSpPr>
            <xdr:cNvPr id="14339" name="btnSiguiente"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327660</xdr:colOff>
          <xdr:row>0</xdr:row>
          <xdr:rowOff>106680</xdr:rowOff>
        </xdr:from>
        <xdr:to>
          <xdr:col>1</xdr:col>
          <xdr:colOff>1203960</xdr:colOff>
          <xdr:row>0</xdr:row>
          <xdr:rowOff>403860</xdr:rowOff>
        </xdr:to>
        <xdr:sp macro="" textlink="">
          <xdr:nvSpPr>
            <xdr:cNvPr id="15361" name="btnIndice" hidden="1">
              <a:extLst>
                <a:ext uri="{63B3BB69-23CF-44E3-9099-C40C66FF867C}">
                  <a14:compatExt spid="_x0000_s15361"/>
                </a:ext>
                <a:ext uri="{FF2B5EF4-FFF2-40B4-BE49-F238E27FC236}">
                  <a16:creationId xmlns:a16="http://schemas.microsoft.com/office/drawing/2014/main" id="{00000000-0008-0000-0B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0</xdr:row>
          <xdr:rowOff>114300</xdr:rowOff>
        </xdr:from>
        <xdr:to>
          <xdr:col>12</xdr:col>
          <xdr:colOff>861060</xdr:colOff>
          <xdr:row>0</xdr:row>
          <xdr:rowOff>403860</xdr:rowOff>
        </xdr:to>
        <xdr:sp macro="" textlink="">
          <xdr:nvSpPr>
            <xdr:cNvPr id="15362" name="btnAnterior" hidden="1">
              <a:extLst>
                <a:ext uri="{63B3BB69-23CF-44E3-9099-C40C66FF867C}">
                  <a14:compatExt spid="_x0000_s15362"/>
                </a:ext>
                <a:ext uri="{FF2B5EF4-FFF2-40B4-BE49-F238E27FC236}">
                  <a16:creationId xmlns:a16="http://schemas.microsoft.com/office/drawing/2014/main" id="{00000000-0008-0000-0B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815340</xdr:colOff>
          <xdr:row>0</xdr:row>
          <xdr:rowOff>106680</xdr:rowOff>
        </xdr:from>
        <xdr:to>
          <xdr:col>14</xdr:col>
          <xdr:colOff>594360</xdr:colOff>
          <xdr:row>0</xdr:row>
          <xdr:rowOff>403860</xdr:rowOff>
        </xdr:to>
        <xdr:sp macro="" textlink="">
          <xdr:nvSpPr>
            <xdr:cNvPr id="15363" name="btnSiguiente" hidden="1">
              <a:extLst>
                <a:ext uri="{63B3BB69-23CF-44E3-9099-C40C66FF867C}">
                  <a14:compatExt spid="_x0000_s15363"/>
                </a:ext>
                <a:ext uri="{FF2B5EF4-FFF2-40B4-BE49-F238E27FC236}">
                  <a16:creationId xmlns:a16="http://schemas.microsoft.com/office/drawing/2014/main" id="{00000000-0008-0000-0B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601980</xdr:colOff>
          <xdr:row>0</xdr:row>
          <xdr:rowOff>129540</xdr:rowOff>
        </xdr:from>
        <xdr:to>
          <xdr:col>2</xdr:col>
          <xdr:colOff>685800</xdr:colOff>
          <xdr:row>0</xdr:row>
          <xdr:rowOff>426720</xdr:rowOff>
        </xdr:to>
        <xdr:sp macro="" textlink="">
          <xdr:nvSpPr>
            <xdr:cNvPr id="16385" name="btnIndice" hidden="1">
              <a:extLst>
                <a:ext uri="{63B3BB69-23CF-44E3-9099-C40C66FF867C}">
                  <a14:compatExt spid="_x0000_s16385"/>
                </a:ext>
                <a:ext uri="{FF2B5EF4-FFF2-40B4-BE49-F238E27FC236}">
                  <a16:creationId xmlns:a16="http://schemas.microsoft.com/office/drawing/2014/main" id="{00000000-0008-0000-0C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304800</xdr:colOff>
          <xdr:row>0</xdr:row>
          <xdr:rowOff>121920</xdr:rowOff>
        </xdr:from>
        <xdr:to>
          <xdr:col>9</xdr:col>
          <xdr:colOff>632460</xdr:colOff>
          <xdr:row>0</xdr:row>
          <xdr:rowOff>419100</xdr:rowOff>
        </xdr:to>
        <xdr:sp macro="" textlink="">
          <xdr:nvSpPr>
            <xdr:cNvPr id="16386" name="btnAnterior" hidden="1">
              <a:extLst>
                <a:ext uri="{63B3BB69-23CF-44E3-9099-C40C66FF867C}">
                  <a14:compatExt spid="_x0000_s16386"/>
                </a:ext>
                <a:ext uri="{FF2B5EF4-FFF2-40B4-BE49-F238E27FC236}">
                  <a16:creationId xmlns:a16="http://schemas.microsoft.com/office/drawing/2014/main" id="{00000000-0008-0000-0C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632460</xdr:colOff>
          <xdr:row>0</xdr:row>
          <xdr:rowOff>121920</xdr:rowOff>
        </xdr:from>
        <xdr:to>
          <xdr:col>11</xdr:col>
          <xdr:colOff>434340</xdr:colOff>
          <xdr:row>0</xdr:row>
          <xdr:rowOff>419100</xdr:rowOff>
        </xdr:to>
        <xdr:sp macro="" textlink="">
          <xdr:nvSpPr>
            <xdr:cNvPr id="16387" name="btnSiguiente" hidden="1">
              <a:extLst>
                <a:ext uri="{63B3BB69-23CF-44E3-9099-C40C66FF867C}">
                  <a14:compatExt spid="_x0000_s16387"/>
                </a:ext>
                <a:ext uri="{FF2B5EF4-FFF2-40B4-BE49-F238E27FC236}">
                  <a16:creationId xmlns:a16="http://schemas.microsoft.com/office/drawing/2014/main" id="{00000000-0008-0000-0C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220980</xdr:colOff>
          <xdr:row>0</xdr:row>
          <xdr:rowOff>106680</xdr:rowOff>
        </xdr:from>
        <xdr:to>
          <xdr:col>2</xdr:col>
          <xdr:colOff>1889760</xdr:colOff>
          <xdr:row>0</xdr:row>
          <xdr:rowOff>403860</xdr:rowOff>
        </xdr:to>
        <xdr:sp macro="" textlink="">
          <xdr:nvSpPr>
            <xdr:cNvPr id="17409" name="btnIndice"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525780</xdr:colOff>
          <xdr:row>0</xdr:row>
          <xdr:rowOff>114300</xdr:rowOff>
        </xdr:from>
        <xdr:to>
          <xdr:col>7</xdr:col>
          <xdr:colOff>365760</xdr:colOff>
          <xdr:row>0</xdr:row>
          <xdr:rowOff>411480</xdr:rowOff>
        </xdr:to>
        <xdr:sp macro="" textlink="">
          <xdr:nvSpPr>
            <xdr:cNvPr id="17410" name="btnAnterior"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464820</xdr:colOff>
          <xdr:row>0</xdr:row>
          <xdr:rowOff>106680</xdr:rowOff>
        </xdr:from>
        <xdr:to>
          <xdr:col>9</xdr:col>
          <xdr:colOff>548640</xdr:colOff>
          <xdr:row>0</xdr:row>
          <xdr:rowOff>403860</xdr:rowOff>
        </xdr:to>
        <xdr:sp macro="" textlink="">
          <xdr:nvSpPr>
            <xdr:cNvPr id="17411" name="btnSiguiente"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xdr:colOff>
          <xdr:row>0</xdr:row>
          <xdr:rowOff>83820</xdr:rowOff>
        </xdr:from>
        <xdr:to>
          <xdr:col>3</xdr:col>
          <xdr:colOff>7620</xdr:colOff>
          <xdr:row>0</xdr:row>
          <xdr:rowOff>381000</xdr:rowOff>
        </xdr:to>
        <xdr:sp macro="" textlink="">
          <xdr:nvSpPr>
            <xdr:cNvPr id="18433" name="btnIndice" hidden="1">
              <a:extLst>
                <a:ext uri="{63B3BB69-23CF-44E3-9099-C40C66FF867C}">
                  <a14:compatExt spid="_x0000_s18433"/>
                </a:ext>
                <a:ext uri="{FF2B5EF4-FFF2-40B4-BE49-F238E27FC236}">
                  <a16:creationId xmlns:a16="http://schemas.microsoft.com/office/drawing/2014/main" id="{00000000-0008-0000-0E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129540</xdr:colOff>
          <xdr:row>0</xdr:row>
          <xdr:rowOff>99060</xdr:rowOff>
        </xdr:from>
        <xdr:to>
          <xdr:col>10</xdr:col>
          <xdr:colOff>1005840</xdr:colOff>
          <xdr:row>0</xdr:row>
          <xdr:rowOff>396240</xdr:rowOff>
        </xdr:to>
        <xdr:sp macro="" textlink="">
          <xdr:nvSpPr>
            <xdr:cNvPr id="18434" name="btnAnterior" hidden="1">
              <a:extLst>
                <a:ext uri="{63B3BB69-23CF-44E3-9099-C40C66FF867C}">
                  <a14:compatExt spid="_x0000_s18434"/>
                </a:ext>
                <a:ext uri="{FF2B5EF4-FFF2-40B4-BE49-F238E27FC236}">
                  <a16:creationId xmlns:a16="http://schemas.microsoft.com/office/drawing/2014/main" id="{00000000-0008-0000-0E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914400</xdr:colOff>
          <xdr:row>0</xdr:row>
          <xdr:rowOff>91440</xdr:rowOff>
        </xdr:from>
        <xdr:to>
          <xdr:col>10</xdr:col>
          <xdr:colOff>2583180</xdr:colOff>
          <xdr:row>0</xdr:row>
          <xdr:rowOff>388620</xdr:rowOff>
        </xdr:to>
        <xdr:sp macro="" textlink="">
          <xdr:nvSpPr>
            <xdr:cNvPr id="18435" name="btnSiguiente" hidden="1">
              <a:extLst>
                <a:ext uri="{63B3BB69-23CF-44E3-9099-C40C66FF867C}">
                  <a14:compatExt spid="_x0000_s18435"/>
                </a:ext>
                <a:ext uri="{FF2B5EF4-FFF2-40B4-BE49-F238E27FC236}">
                  <a16:creationId xmlns:a16="http://schemas.microsoft.com/office/drawing/2014/main" id="{00000000-0008-0000-0E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594360</xdr:colOff>
          <xdr:row>0</xdr:row>
          <xdr:rowOff>76200</xdr:rowOff>
        </xdr:from>
        <xdr:to>
          <xdr:col>2</xdr:col>
          <xdr:colOff>678180</xdr:colOff>
          <xdr:row>0</xdr:row>
          <xdr:rowOff>373380</xdr:rowOff>
        </xdr:to>
        <xdr:sp macro="" textlink="">
          <xdr:nvSpPr>
            <xdr:cNvPr id="19458" name="btnIndice" hidden="1">
              <a:extLst>
                <a:ext uri="{63B3BB69-23CF-44E3-9099-C40C66FF867C}">
                  <a14:compatExt spid="_x0000_s19458"/>
                </a:ext>
                <a:ext uri="{FF2B5EF4-FFF2-40B4-BE49-F238E27FC236}">
                  <a16:creationId xmlns:a16="http://schemas.microsoft.com/office/drawing/2014/main" id="{00000000-0008-0000-0F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297180</xdr:colOff>
          <xdr:row>0</xdr:row>
          <xdr:rowOff>99060</xdr:rowOff>
        </xdr:from>
        <xdr:to>
          <xdr:col>10</xdr:col>
          <xdr:colOff>525780</xdr:colOff>
          <xdr:row>0</xdr:row>
          <xdr:rowOff>396240</xdr:rowOff>
        </xdr:to>
        <xdr:sp macro="" textlink="">
          <xdr:nvSpPr>
            <xdr:cNvPr id="19459" name="btnAnterior" hidden="1">
              <a:extLst>
                <a:ext uri="{63B3BB69-23CF-44E3-9099-C40C66FF867C}">
                  <a14:compatExt spid="_x0000_s19459"/>
                </a:ext>
                <a:ext uri="{FF2B5EF4-FFF2-40B4-BE49-F238E27FC236}">
                  <a16:creationId xmlns:a16="http://schemas.microsoft.com/office/drawing/2014/main" id="{00000000-0008-0000-0F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594360</xdr:colOff>
          <xdr:row>0</xdr:row>
          <xdr:rowOff>99060</xdr:rowOff>
        </xdr:from>
        <xdr:to>
          <xdr:col>10</xdr:col>
          <xdr:colOff>2263140</xdr:colOff>
          <xdr:row>0</xdr:row>
          <xdr:rowOff>396240</xdr:rowOff>
        </xdr:to>
        <xdr:sp macro="" textlink="">
          <xdr:nvSpPr>
            <xdr:cNvPr id="19460" name="btnSiguiente" hidden="1">
              <a:extLst>
                <a:ext uri="{63B3BB69-23CF-44E3-9099-C40C66FF867C}">
                  <a14:compatExt spid="_x0000_s19460"/>
                </a:ext>
                <a:ext uri="{FF2B5EF4-FFF2-40B4-BE49-F238E27FC236}">
                  <a16:creationId xmlns:a16="http://schemas.microsoft.com/office/drawing/2014/main" id="{00000000-0008-0000-0F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0</xdr:row>
          <xdr:rowOff>121920</xdr:rowOff>
        </xdr:from>
        <xdr:to>
          <xdr:col>3</xdr:col>
          <xdr:colOff>99060</xdr:colOff>
          <xdr:row>0</xdr:row>
          <xdr:rowOff>419100</xdr:rowOff>
        </xdr:to>
        <xdr:sp macro="" textlink="">
          <xdr:nvSpPr>
            <xdr:cNvPr id="20481" name="btnIndice" hidden="1">
              <a:extLst>
                <a:ext uri="{63B3BB69-23CF-44E3-9099-C40C66FF867C}">
                  <a14:compatExt spid="_x0000_s20481"/>
                </a:ext>
                <a:ext uri="{FF2B5EF4-FFF2-40B4-BE49-F238E27FC236}">
                  <a16:creationId xmlns:a16="http://schemas.microsoft.com/office/drawing/2014/main" id="{00000000-0008-0000-10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0</xdr:row>
          <xdr:rowOff>129540</xdr:rowOff>
        </xdr:from>
        <xdr:to>
          <xdr:col>10</xdr:col>
          <xdr:colOff>906780</xdr:colOff>
          <xdr:row>0</xdr:row>
          <xdr:rowOff>426720</xdr:rowOff>
        </xdr:to>
        <xdr:sp macro="" textlink="">
          <xdr:nvSpPr>
            <xdr:cNvPr id="20482" name="btnAnterior" hidden="1">
              <a:extLst>
                <a:ext uri="{63B3BB69-23CF-44E3-9099-C40C66FF867C}">
                  <a14:compatExt spid="_x0000_s20482"/>
                </a:ext>
                <a:ext uri="{FF2B5EF4-FFF2-40B4-BE49-F238E27FC236}">
                  <a16:creationId xmlns:a16="http://schemas.microsoft.com/office/drawing/2014/main" id="{00000000-0008-0000-10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861060</xdr:colOff>
          <xdr:row>0</xdr:row>
          <xdr:rowOff>121920</xdr:rowOff>
        </xdr:from>
        <xdr:to>
          <xdr:col>11</xdr:col>
          <xdr:colOff>68580</xdr:colOff>
          <xdr:row>0</xdr:row>
          <xdr:rowOff>419100</xdr:rowOff>
        </xdr:to>
        <xdr:sp macro="" textlink="">
          <xdr:nvSpPr>
            <xdr:cNvPr id="20483" name="btnSiguiente" hidden="1">
              <a:extLst>
                <a:ext uri="{63B3BB69-23CF-44E3-9099-C40C66FF867C}">
                  <a14:compatExt spid="_x0000_s20483"/>
                </a:ext>
                <a:ext uri="{FF2B5EF4-FFF2-40B4-BE49-F238E27FC236}">
                  <a16:creationId xmlns:a16="http://schemas.microsoft.com/office/drawing/2014/main" id="{00000000-0008-0000-10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0</xdr:row>
          <xdr:rowOff>121920</xdr:rowOff>
        </xdr:from>
        <xdr:to>
          <xdr:col>2</xdr:col>
          <xdr:colOff>891540</xdr:colOff>
          <xdr:row>0</xdr:row>
          <xdr:rowOff>419100</xdr:rowOff>
        </xdr:to>
        <xdr:sp macro="" textlink="">
          <xdr:nvSpPr>
            <xdr:cNvPr id="21505" name="btnIndice" hidden="1">
              <a:extLst>
                <a:ext uri="{63B3BB69-23CF-44E3-9099-C40C66FF867C}">
                  <a14:compatExt spid="_x0000_s21505"/>
                </a:ext>
                <a:ext uri="{FF2B5EF4-FFF2-40B4-BE49-F238E27FC236}">
                  <a16:creationId xmlns:a16="http://schemas.microsoft.com/office/drawing/2014/main" id="{00000000-0008-0000-11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0</xdr:row>
          <xdr:rowOff>129540</xdr:rowOff>
        </xdr:from>
        <xdr:to>
          <xdr:col>11</xdr:col>
          <xdr:colOff>807720</xdr:colOff>
          <xdr:row>0</xdr:row>
          <xdr:rowOff>426720</xdr:rowOff>
        </xdr:to>
        <xdr:sp macro="" textlink="">
          <xdr:nvSpPr>
            <xdr:cNvPr id="21506" name="btnAnterior" hidden="1">
              <a:extLst>
                <a:ext uri="{63B3BB69-23CF-44E3-9099-C40C66FF867C}">
                  <a14:compatExt spid="_x0000_s21506"/>
                </a:ext>
                <a:ext uri="{FF2B5EF4-FFF2-40B4-BE49-F238E27FC236}">
                  <a16:creationId xmlns:a16="http://schemas.microsoft.com/office/drawing/2014/main" id="{00000000-0008-0000-11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777240</xdr:colOff>
          <xdr:row>0</xdr:row>
          <xdr:rowOff>121920</xdr:rowOff>
        </xdr:from>
        <xdr:to>
          <xdr:col>11</xdr:col>
          <xdr:colOff>2446020</xdr:colOff>
          <xdr:row>0</xdr:row>
          <xdr:rowOff>419100</xdr:rowOff>
        </xdr:to>
        <xdr:sp macro="" textlink="">
          <xdr:nvSpPr>
            <xdr:cNvPr id="21507" name="btnSiguiente" hidden="1">
              <a:extLst>
                <a:ext uri="{63B3BB69-23CF-44E3-9099-C40C66FF867C}">
                  <a14:compatExt spid="_x0000_s21507"/>
                </a:ext>
                <a:ext uri="{FF2B5EF4-FFF2-40B4-BE49-F238E27FC236}">
                  <a16:creationId xmlns:a16="http://schemas.microsoft.com/office/drawing/2014/main" id="{00000000-0008-0000-11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0</xdr:row>
          <xdr:rowOff>121920</xdr:rowOff>
        </xdr:from>
        <xdr:to>
          <xdr:col>2</xdr:col>
          <xdr:colOff>609600</xdr:colOff>
          <xdr:row>0</xdr:row>
          <xdr:rowOff>419100</xdr:rowOff>
        </xdr:to>
        <xdr:sp macro="" textlink="">
          <xdr:nvSpPr>
            <xdr:cNvPr id="22529" name="btnIndice" hidden="1">
              <a:extLst>
                <a:ext uri="{63B3BB69-23CF-44E3-9099-C40C66FF867C}">
                  <a14:compatExt spid="_x0000_s22529"/>
                </a:ext>
                <a:ext uri="{FF2B5EF4-FFF2-40B4-BE49-F238E27FC236}">
                  <a16:creationId xmlns:a16="http://schemas.microsoft.com/office/drawing/2014/main" id="{00000000-0008-0000-12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0</xdr:row>
          <xdr:rowOff>152400</xdr:rowOff>
        </xdr:from>
        <xdr:to>
          <xdr:col>9</xdr:col>
          <xdr:colOff>533400</xdr:colOff>
          <xdr:row>0</xdr:row>
          <xdr:rowOff>449580</xdr:rowOff>
        </xdr:to>
        <xdr:sp macro="" textlink="">
          <xdr:nvSpPr>
            <xdr:cNvPr id="22530" name="btnAnterior" hidden="1">
              <a:extLst>
                <a:ext uri="{63B3BB69-23CF-44E3-9099-C40C66FF867C}">
                  <a14:compatExt spid="_x0000_s22530"/>
                </a:ext>
                <a:ext uri="{FF2B5EF4-FFF2-40B4-BE49-F238E27FC236}">
                  <a16:creationId xmlns:a16="http://schemas.microsoft.com/office/drawing/2014/main" id="{00000000-0008-0000-1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10.xml"/><Relationship Id="rId18" Type="http://schemas.openxmlformats.org/officeDocument/2006/relationships/image" Target="../media/image15.emf"/><Relationship Id="rId26" Type="http://schemas.openxmlformats.org/officeDocument/2006/relationships/image" Target="../media/image19.emf"/><Relationship Id="rId39" Type="http://schemas.openxmlformats.org/officeDocument/2006/relationships/control" Target="../activeX/activeX23.xml"/><Relationship Id="rId21" Type="http://schemas.openxmlformats.org/officeDocument/2006/relationships/control" Target="../activeX/activeX14.xml"/><Relationship Id="rId34" Type="http://schemas.openxmlformats.org/officeDocument/2006/relationships/image" Target="../media/image23.emf"/><Relationship Id="rId7" Type="http://schemas.openxmlformats.org/officeDocument/2006/relationships/control" Target="../activeX/activeX7.xml"/><Relationship Id="rId12" Type="http://schemas.openxmlformats.org/officeDocument/2006/relationships/image" Target="../media/image12.emf"/><Relationship Id="rId17" Type="http://schemas.openxmlformats.org/officeDocument/2006/relationships/control" Target="../activeX/activeX12.xml"/><Relationship Id="rId25" Type="http://schemas.openxmlformats.org/officeDocument/2006/relationships/control" Target="../activeX/activeX16.xml"/><Relationship Id="rId33" Type="http://schemas.openxmlformats.org/officeDocument/2006/relationships/control" Target="../activeX/activeX20.xml"/><Relationship Id="rId38" Type="http://schemas.openxmlformats.org/officeDocument/2006/relationships/image" Target="../media/image25.emf"/><Relationship Id="rId2" Type="http://schemas.openxmlformats.org/officeDocument/2006/relationships/vmlDrawing" Target="../drawings/vmlDrawing3.vml"/><Relationship Id="rId16" Type="http://schemas.openxmlformats.org/officeDocument/2006/relationships/image" Target="../media/image14.emf"/><Relationship Id="rId20" Type="http://schemas.openxmlformats.org/officeDocument/2006/relationships/image" Target="../media/image16.emf"/><Relationship Id="rId29" Type="http://schemas.openxmlformats.org/officeDocument/2006/relationships/control" Target="../activeX/activeX18.xml"/><Relationship Id="rId1" Type="http://schemas.openxmlformats.org/officeDocument/2006/relationships/drawing" Target="../drawings/drawing3.xml"/><Relationship Id="rId6" Type="http://schemas.openxmlformats.org/officeDocument/2006/relationships/image" Target="../media/image9.emf"/><Relationship Id="rId11" Type="http://schemas.openxmlformats.org/officeDocument/2006/relationships/control" Target="../activeX/activeX9.xml"/><Relationship Id="rId24" Type="http://schemas.openxmlformats.org/officeDocument/2006/relationships/image" Target="../media/image18.emf"/><Relationship Id="rId32" Type="http://schemas.openxmlformats.org/officeDocument/2006/relationships/image" Target="../media/image22.emf"/><Relationship Id="rId37" Type="http://schemas.openxmlformats.org/officeDocument/2006/relationships/control" Target="../activeX/activeX22.xml"/><Relationship Id="rId40" Type="http://schemas.openxmlformats.org/officeDocument/2006/relationships/image" Target="../media/image26.emf"/><Relationship Id="rId5" Type="http://schemas.openxmlformats.org/officeDocument/2006/relationships/control" Target="../activeX/activeX6.xml"/><Relationship Id="rId15" Type="http://schemas.openxmlformats.org/officeDocument/2006/relationships/control" Target="../activeX/activeX11.xml"/><Relationship Id="rId23" Type="http://schemas.openxmlformats.org/officeDocument/2006/relationships/control" Target="../activeX/activeX15.xml"/><Relationship Id="rId28" Type="http://schemas.openxmlformats.org/officeDocument/2006/relationships/image" Target="../media/image20.emf"/><Relationship Id="rId36" Type="http://schemas.openxmlformats.org/officeDocument/2006/relationships/image" Target="../media/image24.emf"/><Relationship Id="rId10" Type="http://schemas.openxmlformats.org/officeDocument/2006/relationships/image" Target="../media/image11.emf"/><Relationship Id="rId19" Type="http://schemas.openxmlformats.org/officeDocument/2006/relationships/control" Target="../activeX/activeX13.xml"/><Relationship Id="rId31" Type="http://schemas.openxmlformats.org/officeDocument/2006/relationships/control" Target="../activeX/activeX19.xml"/><Relationship Id="rId4" Type="http://schemas.openxmlformats.org/officeDocument/2006/relationships/image" Target="../media/image8.emf"/><Relationship Id="rId9" Type="http://schemas.openxmlformats.org/officeDocument/2006/relationships/control" Target="../activeX/activeX8.xml"/><Relationship Id="rId14" Type="http://schemas.openxmlformats.org/officeDocument/2006/relationships/image" Target="../media/image13.emf"/><Relationship Id="rId22" Type="http://schemas.openxmlformats.org/officeDocument/2006/relationships/image" Target="../media/image17.emf"/><Relationship Id="rId27" Type="http://schemas.openxmlformats.org/officeDocument/2006/relationships/control" Target="../activeX/activeX17.xml"/><Relationship Id="rId30" Type="http://schemas.openxmlformats.org/officeDocument/2006/relationships/image" Target="../media/image21.emf"/><Relationship Id="rId35" Type="http://schemas.openxmlformats.org/officeDocument/2006/relationships/control" Target="../activeX/activeX21.xml"/><Relationship Id="rId8" Type="http://schemas.openxmlformats.org/officeDocument/2006/relationships/image" Target="../media/image10.emf"/><Relationship Id="rId3"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control" Target="../activeX/activeX29.xml"/><Relationship Id="rId3" Type="http://schemas.openxmlformats.org/officeDocument/2006/relationships/control" Target="../activeX/activeX24.xml"/><Relationship Id="rId7" Type="http://schemas.openxmlformats.org/officeDocument/2006/relationships/control" Target="../activeX/activeX26.xml"/><Relationship Id="rId12" Type="http://schemas.openxmlformats.org/officeDocument/2006/relationships/image" Target="../media/image31.emf"/><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28.emf"/><Relationship Id="rId11" Type="http://schemas.openxmlformats.org/officeDocument/2006/relationships/control" Target="../activeX/activeX28.xml"/><Relationship Id="rId5" Type="http://schemas.openxmlformats.org/officeDocument/2006/relationships/control" Target="../activeX/activeX25.xml"/><Relationship Id="rId10" Type="http://schemas.openxmlformats.org/officeDocument/2006/relationships/image" Target="../media/image30.emf"/><Relationship Id="rId4" Type="http://schemas.openxmlformats.org/officeDocument/2006/relationships/image" Target="../media/image27.emf"/><Relationship Id="rId9" Type="http://schemas.openxmlformats.org/officeDocument/2006/relationships/control" Target="../activeX/activeX27.xml"/><Relationship Id="rId14" Type="http://schemas.openxmlformats.org/officeDocument/2006/relationships/image" Target="../media/image32.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2.xml"/><Relationship Id="rId3" Type="http://schemas.openxmlformats.org/officeDocument/2006/relationships/vmlDrawing" Target="../drawings/vmlDrawing5.vml"/><Relationship Id="rId7" Type="http://schemas.openxmlformats.org/officeDocument/2006/relationships/image" Target="../media/image34.emf"/><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31.xml"/><Relationship Id="rId11" Type="http://schemas.openxmlformats.org/officeDocument/2006/relationships/image" Target="../media/image36.emf"/><Relationship Id="rId5" Type="http://schemas.openxmlformats.org/officeDocument/2006/relationships/image" Target="../media/image33.emf"/><Relationship Id="rId10" Type="http://schemas.openxmlformats.org/officeDocument/2006/relationships/control" Target="../activeX/activeX33.xml"/><Relationship Id="rId4" Type="http://schemas.openxmlformats.org/officeDocument/2006/relationships/control" Target="../activeX/activeX30.xml"/><Relationship Id="rId9" Type="http://schemas.openxmlformats.org/officeDocument/2006/relationships/image" Target="../media/image35.emf"/></Relationships>
</file>

<file path=xl/worksheets/_rels/sheet6.xml.rels><?xml version="1.0" encoding="UTF-8" standalone="yes"?>
<Relationships xmlns="http://schemas.openxmlformats.org/package/2006/relationships"><Relationship Id="rId8" Type="http://schemas.openxmlformats.org/officeDocument/2006/relationships/image" Target="../media/image39.emf"/><Relationship Id="rId3" Type="http://schemas.openxmlformats.org/officeDocument/2006/relationships/control" Target="../activeX/activeX34.xml"/><Relationship Id="rId7" Type="http://schemas.openxmlformats.org/officeDocument/2006/relationships/control" Target="../activeX/activeX36.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38.emf"/><Relationship Id="rId5" Type="http://schemas.openxmlformats.org/officeDocument/2006/relationships/control" Target="../activeX/activeX35.xml"/><Relationship Id="rId4" Type="http://schemas.openxmlformats.org/officeDocument/2006/relationships/image" Target="../media/image37.emf"/></Relationships>
</file>

<file path=xl/worksheets/_rels/sheet7.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control" Target="../activeX/activeX37.xml"/><Relationship Id="rId7" Type="http://schemas.openxmlformats.org/officeDocument/2006/relationships/control" Target="../activeX/activeX39.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41.emf"/><Relationship Id="rId5" Type="http://schemas.openxmlformats.org/officeDocument/2006/relationships/control" Target="../activeX/activeX38.xml"/><Relationship Id="rId4" Type="http://schemas.openxmlformats.org/officeDocument/2006/relationships/image" Target="../media/image40.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42.xml"/><Relationship Id="rId3" Type="http://schemas.openxmlformats.org/officeDocument/2006/relationships/vmlDrawing" Target="../drawings/vmlDrawing8.vml"/><Relationship Id="rId7" Type="http://schemas.openxmlformats.org/officeDocument/2006/relationships/image" Target="../media/image44.emf"/><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ontrol" Target="../activeX/activeX41.xml"/><Relationship Id="rId5" Type="http://schemas.openxmlformats.org/officeDocument/2006/relationships/image" Target="../media/image43.emf"/><Relationship Id="rId4" Type="http://schemas.openxmlformats.org/officeDocument/2006/relationships/control" Target="../activeX/activeX40.xml"/><Relationship Id="rId9" Type="http://schemas.openxmlformats.org/officeDocument/2006/relationships/image" Target="../media/image45.emf"/></Relationships>
</file>

<file path=xl/worksheets/_rels/sheet9.x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control" Target="../activeX/activeX43.xml"/><Relationship Id="rId7" Type="http://schemas.openxmlformats.org/officeDocument/2006/relationships/control" Target="../activeX/activeX45.xml"/><Relationship Id="rId2" Type="http://schemas.openxmlformats.org/officeDocument/2006/relationships/vmlDrawing" Target="../drawings/vmlDrawing9.vml"/><Relationship Id="rId1" Type="http://schemas.openxmlformats.org/officeDocument/2006/relationships/drawing" Target="../drawings/drawing9.xml"/><Relationship Id="rId6" Type="http://schemas.openxmlformats.org/officeDocument/2006/relationships/image" Target="../media/image47.emf"/><Relationship Id="rId5" Type="http://schemas.openxmlformats.org/officeDocument/2006/relationships/control" Target="../activeX/activeX44.xml"/><Relationship Id="rId4" Type="http://schemas.openxmlformats.org/officeDocument/2006/relationships/image" Target="../media/image46.emf"/><Relationship Id="rId9"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8.xml"/><Relationship Id="rId3" Type="http://schemas.openxmlformats.org/officeDocument/2006/relationships/vmlDrawing" Target="../drawings/vmlDrawing10.vml"/><Relationship Id="rId7" Type="http://schemas.openxmlformats.org/officeDocument/2006/relationships/image" Target="../media/image50.emf"/><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ontrol" Target="../activeX/activeX47.xml"/><Relationship Id="rId5" Type="http://schemas.openxmlformats.org/officeDocument/2006/relationships/image" Target="../media/image49.emf"/><Relationship Id="rId4" Type="http://schemas.openxmlformats.org/officeDocument/2006/relationships/control" Target="../activeX/activeX46.xml"/><Relationship Id="rId9" Type="http://schemas.openxmlformats.org/officeDocument/2006/relationships/image" Target="../media/image5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51.xml"/><Relationship Id="rId3" Type="http://schemas.openxmlformats.org/officeDocument/2006/relationships/vmlDrawing" Target="../drawings/vmlDrawing11.vml"/><Relationship Id="rId7" Type="http://schemas.openxmlformats.org/officeDocument/2006/relationships/image" Target="../media/image53.emf"/><Relationship Id="rId2" Type="http://schemas.openxmlformats.org/officeDocument/2006/relationships/drawing" Target="../drawings/drawing11.xml"/><Relationship Id="rId1" Type="http://schemas.openxmlformats.org/officeDocument/2006/relationships/printerSettings" Target="../printerSettings/printerSettings6.bin"/><Relationship Id="rId6" Type="http://schemas.openxmlformats.org/officeDocument/2006/relationships/control" Target="../activeX/activeX50.xml"/><Relationship Id="rId5" Type="http://schemas.openxmlformats.org/officeDocument/2006/relationships/image" Target="../media/image52.emf"/><Relationship Id="rId10" Type="http://schemas.openxmlformats.org/officeDocument/2006/relationships/comments" Target="../comments3.xml"/><Relationship Id="rId4" Type="http://schemas.openxmlformats.org/officeDocument/2006/relationships/control" Target="../activeX/activeX49.xml"/><Relationship Id="rId9" Type="http://schemas.openxmlformats.org/officeDocument/2006/relationships/image" Target="../media/image54.emf"/></Relationships>
</file>

<file path=xl/worksheets/_rels/sheet12.x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control" Target="../activeX/activeX52.xml"/><Relationship Id="rId7" Type="http://schemas.openxmlformats.org/officeDocument/2006/relationships/control" Target="../activeX/activeX54.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56.emf"/><Relationship Id="rId5" Type="http://schemas.openxmlformats.org/officeDocument/2006/relationships/control" Target="../activeX/activeX53.xml"/><Relationship Id="rId4" Type="http://schemas.openxmlformats.org/officeDocument/2006/relationships/image" Target="../media/image55.emf"/><Relationship Id="rId9"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vmlDrawing" Target="../drawings/vmlDrawing13.vml"/><Relationship Id="rId7" Type="http://schemas.openxmlformats.org/officeDocument/2006/relationships/image" Target="../media/image59.emf"/><Relationship Id="rId2" Type="http://schemas.openxmlformats.org/officeDocument/2006/relationships/drawing" Target="../drawings/drawing13.xml"/><Relationship Id="rId1" Type="http://schemas.openxmlformats.org/officeDocument/2006/relationships/printerSettings" Target="../printerSettings/printerSettings7.bin"/><Relationship Id="rId6" Type="http://schemas.openxmlformats.org/officeDocument/2006/relationships/control" Target="../activeX/activeX56.xml"/><Relationship Id="rId5" Type="http://schemas.openxmlformats.org/officeDocument/2006/relationships/image" Target="../media/image58.emf"/><Relationship Id="rId4" Type="http://schemas.openxmlformats.org/officeDocument/2006/relationships/control" Target="../activeX/activeX55.xml"/><Relationship Id="rId9" Type="http://schemas.openxmlformats.org/officeDocument/2006/relationships/image" Target="../media/image60.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4.vml"/><Relationship Id="rId7" Type="http://schemas.openxmlformats.org/officeDocument/2006/relationships/image" Target="../media/image62.emf"/><Relationship Id="rId2" Type="http://schemas.openxmlformats.org/officeDocument/2006/relationships/drawing" Target="../drawings/drawing14.xml"/><Relationship Id="rId1" Type="http://schemas.openxmlformats.org/officeDocument/2006/relationships/printerSettings" Target="../printerSettings/printerSettings8.bin"/><Relationship Id="rId6" Type="http://schemas.openxmlformats.org/officeDocument/2006/relationships/control" Target="../activeX/activeX59.xml"/><Relationship Id="rId5" Type="http://schemas.openxmlformats.org/officeDocument/2006/relationships/image" Target="../media/image61.emf"/><Relationship Id="rId4" Type="http://schemas.openxmlformats.org/officeDocument/2006/relationships/control" Target="../activeX/activeX58.xml"/><Relationship Id="rId9" Type="http://schemas.openxmlformats.org/officeDocument/2006/relationships/image" Target="../media/image63.emf"/></Relationships>
</file>

<file path=xl/worksheets/_rels/sheet15.xml.rels><?xml version="1.0" encoding="UTF-8" standalone="yes"?>
<Relationships xmlns="http://schemas.openxmlformats.org/package/2006/relationships"><Relationship Id="rId8" Type="http://schemas.openxmlformats.org/officeDocument/2006/relationships/image" Target="../media/image66.emf"/><Relationship Id="rId3" Type="http://schemas.openxmlformats.org/officeDocument/2006/relationships/control" Target="../activeX/activeX61.xml"/><Relationship Id="rId7" Type="http://schemas.openxmlformats.org/officeDocument/2006/relationships/control" Target="../activeX/activeX63.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65.emf"/><Relationship Id="rId5" Type="http://schemas.openxmlformats.org/officeDocument/2006/relationships/control" Target="../activeX/activeX62.xml"/><Relationship Id="rId4" Type="http://schemas.openxmlformats.org/officeDocument/2006/relationships/image" Target="../media/image64.emf"/></Relationships>
</file>

<file path=xl/worksheets/_rels/sheet16.x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control" Target="../activeX/activeX64.xml"/><Relationship Id="rId7" Type="http://schemas.openxmlformats.org/officeDocument/2006/relationships/control" Target="../activeX/activeX66.xml"/><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68.emf"/><Relationship Id="rId5" Type="http://schemas.openxmlformats.org/officeDocument/2006/relationships/control" Target="../activeX/activeX65.xml"/><Relationship Id="rId4" Type="http://schemas.openxmlformats.org/officeDocument/2006/relationships/image" Target="../media/image67.emf"/></Relationships>
</file>

<file path=xl/worksheets/_rels/sheet17.xml.rels><?xml version="1.0" encoding="UTF-8" standalone="yes"?>
<Relationships xmlns="http://schemas.openxmlformats.org/package/2006/relationships"><Relationship Id="rId8" Type="http://schemas.openxmlformats.org/officeDocument/2006/relationships/image" Target="../media/image72.emf"/><Relationship Id="rId3" Type="http://schemas.openxmlformats.org/officeDocument/2006/relationships/control" Target="../activeX/activeX67.xml"/><Relationship Id="rId7" Type="http://schemas.openxmlformats.org/officeDocument/2006/relationships/control" Target="../activeX/activeX69.xml"/><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71.emf"/><Relationship Id="rId5" Type="http://schemas.openxmlformats.org/officeDocument/2006/relationships/control" Target="../activeX/activeX68.xml"/><Relationship Id="rId4" Type="http://schemas.openxmlformats.org/officeDocument/2006/relationships/image" Target="../media/image70.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18.vml"/><Relationship Id="rId7" Type="http://schemas.openxmlformats.org/officeDocument/2006/relationships/image" Target="../media/image74.emf"/><Relationship Id="rId2" Type="http://schemas.openxmlformats.org/officeDocument/2006/relationships/drawing" Target="../drawings/drawing18.xml"/><Relationship Id="rId1" Type="http://schemas.openxmlformats.org/officeDocument/2006/relationships/printerSettings" Target="../printerSettings/printerSettings9.bin"/><Relationship Id="rId6" Type="http://schemas.openxmlformats.org/officeDocument/2006/relationships/control" Target="../activeX/activeX71.xml"/><Relationship Id="rId5" Type="http://schemas.openxmlformats.org/officeDocument/2006/relationships/image" Target="../media/image73.emf"/><Relationship Id="rId4" Type="http://schemas.openxmlformats.org/officeDocument/2006/relationships/control" Target="../activeX/activeX70.xml"/><Relationship Id="rId9" Type="http://schemas.openxmlformats.org/officeDocument/2006/relationships/image" Target="../media/image75.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image" Target="../media/image77.emf"/><Relationship Id="rId2" Type="http://schemas.openxmlformats.org/officeDocument/2006/relationships/drawing" Target="../drawings/drawing19.xml"/><Relationship Id="rId1" Type="http://schemas.openxmlformats.org/officeDocument/2006/relationships/printerSettings" Target="../printerSettings/printerSettings10.bin"/><Relationship Id="rId6" Type="http://schemas.openxmlformats.org/officeDocument/2006/relationships/control" Target="../activeX/activeX74.xml"/><Relationship Id="rId5" Type="http://schemas.openxmlformats.org/officeDocument/2006/relationships/image" Target="../media/image76.emf"/><Relationship Id="rId4" Type="http://schemas.openxmlformats.org/officeDocument/2006/relationships/control" Target="../activeX/activeX7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D1:P50"/>
  <sheetViews>
    <sheetView showGridLines="0" zoomScale="50" zoomScaleNormal="50" workbookViewId="0">
      <selection activeCell="W30" sqref="W30"/>
    </sheetView>
  </sheetViews>
  <sheetFormatPr baseColWidth="10" defaultRowHeight="14.4" x14ac:dyDescent="0.3"/>
  <cols>
    <col min="9" max="9" width="11.44140625" customWidth="1"/>
  </cols>
  <sheetData>
    <row r="1" spans="4:16" ht="14.25" customHeight="1" x14ac:dyDescent="0.3"/>
    <row r="12" spans="4:16" ht="16.5" customHeight="1" x14ac:dyDescent="0.3"/>
    <row r="14" spans="4:16" ht="15" thickBot="1" x14ac:dyDescent="0.35"/>
    <row r="15" spans="4:16" x14ac:dyDescent="0.3">
      <c r="D15" s="2"/>
      <c r="E15" s="5"/>
      <c r="F15" s="5"/>
      <c r="G15" s="5"/>
      <c r="H15" s="5"/>
      <c r="I15" s="5"/>
      <c r="J15" s="5"/>
      <c r="K15" s="5"/>
      <c r="L15" s="5"/>
      <c r="M15" s="5"/>
      <c r="N15" s="5"/>
      <c r="O15" s="5"/>
      <c r="P15" s="3"/>
    </row>
    <row r="16" spans="4:16" x14ac:dyDescent="0.3">
      <c r="D16" s="1"/>
      <c r="G16" s="561" t="s">
        <v>421</v>
      </c>
      <c r="H16" s="561"/>
      <c r="I16" s="561"/>
      <c r="J16" s="561"/>
      <c r="K16" s="561"/>
      <c r="L16" s="561"/>
      <c r="M16" s="561"/>
      <c r="P16" s="4"/>
    </row>
    <row r="17" spans="4:16" x14ac:dyDescent="0.3">
      <c r="D17" s="1"/>
      <c r="G17" s="561"/>
      <c r="H17" s="561"/>
      <c r="I17" s="561"/>
      <c r="J17" s="561"/>
      <c r="K17" s="561"/>
      <c r="L17" s="561"/>
      <c r="M17" s="561"/>
      <c r="P17" s="4"/>
    </row>
    <row r="18" spans="4:16" x14ac:dyDescent="0.3">
      <c r="D18" s="1"/>
      <c r="G18" s="561"/>
      <c r="H18" s="561"/>
      <c r="I18" s="561"/>
      <c r="J18" s="561"/>
      <c r="K18" s="561"/>
      <c r="L18" s="561"/>
      <c r="M18" s="561"/>
      <c r="P18" s="4"/>
    </row>
    <row r="19" spans="4:16" x14ac:dyDescent="0.3">
      <c r="D19" s="1"/>
      <c r="G19" s="561"/>
      <c r="H19" s="561"/>
      <c r="I19" s="561"/>
      <c r="J19" s="561"/>
      <c r="K19" s="561"/>
      <c r="L19" s="561"/>
      <c r="M19" s="561"/>
      <c r="P19" s="4"/>
    </row>
    <row r="20" spans="4:16" x14ac:dyDescent="0.3">
      <c r="D20" s="1"/>
      <c r="P20" s="4"/>
    </row>
    <row r="21" spans="4:16" x14ac:dyDescent="0.3">
      <c r="D21" s="1"/>
      <c r="P21" s="4"/>
    </row>
    <row r="22" spans="4:16" x14ac:dyDescent="0.3">
      <c r="D22" s="1"/>
      <c r="P22" s="4"/>
    </row>
    <row r="23" spans="4:16" x14ac:dyDescent="0.3">
      <c r="D23" s="1"/>
      <c r="P23" s="4"/>
    </row>
    <row r="24" spans="4:16" x14ac:dyDescent="0.3">
      <c r="D24" s="1"/>
      <c r="P24" s="4"/>
    </row>
    <row r="25" spans="4:16" x14ac:dyDescent="0.3">
      <c r="D25" s="1"/>
      <c r="P25" s="4"/>
    </row>
    <row r="26" spans="4:16" x14ac:dyDescent="0.3">
      <c r="D26" s="1"/>
      <c r="P26" s="4"/>
    </row>
    <row r="27" spans="4:16" x14ac:dyDescent="0.3">
      <c r="D27" s="1"/>
      <c r="P27" s="4"/>
    </row>
    <row r="28" spans="4:16" x14ac:dyDescent="0.3">
      <c r="D28" s="1"/>
      <c r="P28" s="4"/>
    </row>
    <row r="29" spans="4:16" x14ac:dyDescent="0.3">
      <c r="D29" s="1"/>
      <c r="P29" s="4"/>
    </row>
    <row r="30" spans="4:16" x14ac:dyDescent="0.3">
      <c r="D30" s="1"/>
      <c r="P30" s="4"/>
    </row>
    <row r="31" spans="4:16" x14ac:dyDescent="0.3">
      <c r="D31" s="1"/>
      <c r="P31" s="4"/>
    </row>
    <row r="32" spans="4:16" x14ac:dyDescent="0.3">
      <c r="D32" s="1"/>
      <c r="P32" s="4"/>
    </row>
    <row r="33" spans="4:16" x14ac:dyDescent="0.3">
      <c r="D33" s="1"/>
      <c r="F33" s="550" t="s">
        <v>202</v>
      </c>
      <c r="G33" s="551"/>
      <c r="H33" s="551"/>
      <c r="I33" s="551"/>
      <c r="J33" s="551"/>
      <c r="K33" s="551"/>
      <c r="L33" s="551"/>
      <c r="M33" s="551"/>
      <c r="N33" s="552"/>
      <c r="P33" s="4"/>
    </row>
    <row r="34" spans="4:16" x14ac:dyDescent="0.3">
      <c r="D34" s="1"/>
      <c r="F34" s="553"/>
      <c r="G34" s="554"/>
      <c r="H34" s="554"/>
      <c r="I34" s="554"/>
      <c r="J34" s="554"/>
      <c r="K34" s="554"/>
      <c r="L34" s="554"/>
      <c r="M34" s="554"/>
      <c r="N34" s="555"/>
      <c r="P34" s="4"/>
    </row>
    <row r="35" spans="4:16" x14ac:dyDescent="0.3">
      <c r="D35" s="1"/>
      <c r="F35" s="550" t="s">
        <v>0</v>
      </c>
      <c r="G35" s="562"/>
      <c r="H35" s="562"/>
      <c r="I35" s="562"/>
      <c r="J35" s="562"/>
      <c r="K35" s="562"/>
      <c r="L35" s="562"/>
      <c r="M35" s="562"/>
      <c r="N35" s="563"/>
      <c r="P35" s="4"/>
    </row>
    <row r="36" spans="4:16" x14ac:dyDescent="0.3">
      <c r="D36" s="1"/>
      <c r="F36" s="564"/>
      <c r="G36" s="565"/>
      <c r="H36" s="565"/>
      <c r="I36" s="565"/>
      <c r="J36" s="565"/>
      <c r="K36" s="565"/>
      <c r="L36" s="565"/>
      <c r="M36" s="565"/>
      <c r="N36" s="566"/>
      <c r="P36" s="4"/>
    </row>
    <row r="37" spans="4:16" x14ac:dyDescent="0.3">
      <c r="D37" s="1"/>
      <c r="F37" s="550" t="s">
        <v>422</v>
      </c>
      <c r="G37" s="562"/>
      <c r="H37" s="562"/>
      <c r="I37" s="562"/>
      <c r="J37" s="562"/>
      <c r="K37" s="562"/>
      <c r="L37" s="562"/>
      <c r="M37" s="562"/>
      <c r="N37" s="563"/>
      <c r="P37" s="4"/>
    </row>
    <row r="38" spans="4:16" x14ac:dyDescent="0.3">
      <c r="D38" s="1"/>
      <c r="F38" s="564"/>
      <c r="G38" s="565"/>
      <c r="H38" s="565"/>
      <c r="I38" s="565"/>
      <c r="J38" s="565"/>
      <c r="K38" s="565"/>
      <c r="L38" s="565"/>
      <c r="M38" s="565"/>
      <c r="N38" s="566"/>
      <c r="P38" s="4"/>
    </row>
    <row r="39" spans="4:16" x14ac:dyDescent="0.3">
      <c r="D39" s="1"/>
      <c r="F39" s="550" t="s">
        <v>423</v>
      </c>
      <c r="G39" s="551"/>
      <c r="H39" s="551"/>
      <c r="I39" s="551"/>
      <c r="J39" s="551"/>
      <c r="K39" s="551"/>
      <c r="L39" s="551"/>
      <c r="M39" s="551"/>
      <c r="N39" s="552"/>
      <c r="P39" s="4"/>
    </row>
    <row r="40" spans="4:16" x14ac:dyDescent="0.3">
      <c r="D40" s="1"/>
      <c r="F40" s="553"/>
      <c r="G40" s="554"/>
      <c r="H40" s="554"/>
      <c r="I40" s="554"/>
      <c r="J40" s="554"/>
      <c r="K40" s="554"/>
      <c r="L40" s="554"/>
      <c r="M40" s="554"/>
      <c r="N40" s="555"/>
      <c r="P40" s="4"/>
    </row>
    <row r="41" spans="4:16" x14ac:dyDescent="0.3">
      <c r="D41" s="1"/>
      <c r="F41" s="550" t="s">
        <v>1</v>
      </c>
      <c r="G41" s="551"/>
      <c r="H41" s="551"/>
      <c r="I41" s="551"/>
      <c r="J41" s="551"/>
      <c r="K41" s="551"/>
      <c r="L41" s="551"/>
      <c r="M41" s="551"/>
      <c r="N41" s="552"/>
      <c r="P41" s="4"/>
    </row>
    <row r="42" spans="4:16" x14ac:dyDescent="0.3">
      <c r="D42" s="1"/>
      <c r="F42" s="553"/>
      <c r="G42" s="554"/>
      <c r="H42" s="554"/>
      <c r="I42" s="554"/>
      <c r="J42" s="554"/>
      <c r="K42" s="554"/>
      <c r="L42" s="554"/>
      <c r="M42" s="554"/>
      <c r="N42" s="555"/>
      <c r="P42" s="4"/>
    </row>
    <row r="43" spans="4:16" x14ac:dyDescent="0.3">
      <c r="D43" s="1"/>
      <c r="F43" s="550" t="s">
        <v>2</v>
      </c>
      <c r="G43" s="551"/>
      <c r="H43" s="551"/>
      <c r="I43" s="551"/>
      <c r="J43" s="551"/>
      <c r="K43" s="551"/>
      <c r="L43" s="551"/>
      <c r="M43" s="551"/>
      <c r="N43" s="552"/>
      <c r="P43" s="4"/>
    </row>
    <row r="44" spans="4:16" x14ac:dyDescent="0.3">
      <c r="D44" s="1"/>
      <c r="F44" s="553"/>
      <c r="G44" s="554"/>
      <c r="H44" s="554"/>
      <c r="I44" s="554"/>
      <c r="J44" s="554"/>
      <c r="K44" s="554"/>
      <c r="L44" s="554"/>
      <c r="M44" s="554"/>
      <c r="N44" s="555"/>
      <c r="P44" s="4"/>
    </row>
    <row r="45" spans="4:16" x14ac:dyDescent="0.3">
      <c r="D45" s="1"/>
      <c r="P45" s="4"/>
    </row>
    <row r="46" spans="4:16" x14ac:dyDescent="0.3">
      <c r="D46" s="1"/>
      <c r="P46" s="4"/>
    </row>
    <row r="47" spans="4:16" x14ac:dyDescent="0.3">
      <c r="D47" s="1"/>
      <c r="P47" s="4"/>
    </row>
    <row r="48" spans="4:16" x14ac:dyDescent="0.3">
      <c r="D48" s="1"/>
      <c r="M48" s="556"/>
      <c r="N48" s="557"/>
      <c r="O48" s="557"/>
      <c r="P48" s="558"/>
    </row>
    <row r="49" spans="4:16" x14ac:dyDescent="0.3">
      <c r="D49" s="1"/>
      <c r="M49" s="557"/>
      <c r="N49" s="557"/>
      <c r="O49" s="557"/>
      <c r="P49" s="558"/>
    </row>
    <row r="50" spans="4:16" ht="15" thickBot="1" x14ac:dyDescent="0.35">
      <c r="D50" s="6"/>
      <c r="E50" s="7"/>
      <c r="F50" s="7"/>
      <c r="G50" s="7"/>
      <c r="H50" s="7"/>
      <c r="I50" s="7"/>
      <c r="J50" s="7"/>
      <c r="K50" s="7"/>
      <c r="L50" s="7"/>
      <c r="M50" s="559"/>
      <c r="N50" s="559"/>
      <c r="O50" s="559"/>
      <c r="P50" s="560"/>
    </row>
  </sheetData>
  <mergeCells count="8">
    <mergeCell ref="F39:N40"/>
    <mergeCell ref="F41:N42"/>
    <mergeCell ref="F43:N44"/>
    <mergeCell ref="M48:P50"/>
    <mergeCell ref="G16:M19"/>
    <mergeCell ref="F33:N34"/>
    <mergeCell ref="F35:N36"/>
    <mergeCell ref="F37:N38"/>
  </mergeCells>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026" r:id="rId4" name="btnIndice">
          <controlPr defaultSize="0" autoLine="0" r:id="rId5">
            <anchor moveWithCells="1">
              <from>
                <xdr:col>11</xdr:col>
                <xdr:colOff>594360</xdr:colOff>
                <xdr:row>46</xdr:row>
                <xdr:rowOff>106680</xdr:rowOff>
              </from>
              <to>
                <xdr:col>15</xdr:col>
                <xdr:colOff>419100</xdr:colOff>
                <xdr:row>49</xdr:row>
                <xdr:rowOff>144780</xdr:rowOff>
              </to>
            </anchor>
          </controlPr>
        </control>
      </mc:Choice>
      <mc:Fallback>
        <control shapeId="1026" r:id="rId4" name="btnIndic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P53"/>
  <sheetViews>
    <sheetView showGridLines="0" zoomScale="76" zoomScaleNormal="76" workbookViewId="0">
      <pane ySplit="3" topLeftCell="A13" activePane="bottomLeft" state="frozen"/>
      <selection activeCell="M1" sqref="M1"/>
      <selection pane="bottomLeft" activeCell="B14" sqref="B14"/>
    </sheetView>
  </sheetViews>
  <sheetFormatPr baseColWidth="10" defaultRowHeight="14.4" x14ac:dyDescent="0.3"/>
  <cols>
    <col min="2" max="2" width="17.44140625" customWidth="1"/>
    <col min="3" max="3" width="19.6640625" customWidth="1"/>
    <col min="4" max="4" width="17.5546875" customWidth="1"/>
    <col min="5" max="5" width="25.44140625" customWidth="1"/>
    <col min="6" max="6" width="15.6640625" customWidth="1"/>
    <col min="7" max="7" width="16.33203125" customWidth="1"/>
    <col min="8" max="8" width="15.109375" customWidth="1"/>
    <col min="9" max="9" width="14.6640625" customWidth="1"/>
    <col min="10" max="10" width="12.5546875" customWidth="1"/>
    <col min="11" max="11" width="11.88671875" customWidth="1"/>
    <col min="14" max="14" width="14.5546875" customWidth="1"/>
    <col min="16" max="16" width="13.6640625" customWidth="1"/>
    <col min="20" max="20" width="27.6640625" customWidth="1"/>
  </cols>
  <sheetData>
    <row r="1" spans="2:16" s="525" customFormat="1" x14ac:dyDescent="0.3">
      <c r="E1" s="611" t="s">
        <v>320</v>
      </c>
      <c r="F1" s="611"/>
      <c r="G1" s="611"/>
      <c r="H1" s="611"/>
      <c r="I1" s="611"/>
      <c r="J1" s="611"/>
      <c r="K1" s="611"/>
    </row>
    <row r="2" spans="2:16" s="525" customFormat="1" x14ac:dyDescent="0.3">
      <c r="E2" s="611"/>
      <c r="F2" s="611"/>
      <c r="G2" s="611"/>
      <c r="H2" s="611"/>
      <c r="I2" s="611"/>
      <c r="J2" s="611"/>
      <c r="K2" s="611"/>
    </row>
    <row r="3" spans="2:16" s="526" customFormat="1" ht="15" thickBot="1" x14ac:dyDescent="0.35">
      <c r="E3" s="612"/>
      <c r="F3" s="612"/>
      <c r="G3" s="612"/>
      <c r="H3" s="612"/>
      <c r="I3" s="612"/>
      <c r="J3" s="612"/>
      <c r="K3" s="612"/>
    </row>
    <row r="4" spans="2:16" ht="27" customHeight="1" thickTop="1" thickBot="1" x14ac:dyDescent="0.35"/>
    <row r="5" spans="2:16" ht="11.25" hidden="1" customHeight="1" thickTop="1" thickBot="1" x14ac:dyDescent="0.35"/>
    <row r="6" spans="2:16" ht="29.25" customHeight="1" thickTop="1" thickBot="1" x14ac:dyDescent="0.55000000000000004">
      <c r="B6" s="587" t="s">
        <v>4</v>
      </c>
      <c r="C6" s="588"/>
      <c r="D6" s="588"/>
      <c r="E6" s="588"/>
      <c r="F6" s="588"/>
      <c r="G6" s="588"/>
      <c r="H6" s="588"/>
      <c r="I6" s="588"/>
      <c r="J6" s="588"/>
      <c r="K6" s="588"/>
      <c r="L6" s="588"/>
      <c r="M6" s="588"/>
      <c r="N6" s="588"/>
      <c r="O6" s="588"/>
      <c r="P6" s="589"/>
    </row>
    <row r="7" spans="2:16" ht="102.6" customHeight="1" thickTop="1" thickBot="1" x14ac:dyDescent="0.35">
      <c r="B7" s="590" t="s">
        <v>457</v>
      </c>
      <c r="C7" s="591"/>
      <c r="D7" s="591"/>
      <c r="E7" s="591"/>
      <c r="F7" s="591"/>
      <c r="G7" s="591"/>
      <c r="H7" s="591"/>
      <c r="I7" s="591"/>
      <c r="J7" s="591"/>
      <c r="K7" s="591"/>
      <c r="L7" s="591"/>
      <c r="M7" s="591"/>
      <c r="N7" s="591"/>
      <c r="O7" s="591"/>
      <c r="P7" s="592"/>
    </row>
    <row r="8" spans="2:16" ht="21.75" customHeight="1" thickTop="1" thickBot="1" x14ac:dyDescent="0.35"/>
    <row r="9" spans="2:16" ht="27" thickTop="1" thickBot="1" x14ac:dyDescent="0.55000000000000004">
      <c r="B9" s="587" t="s">
        <v>12</v>
      </c>
      <c r="C9" s="588"/>
      <c r="D9" s="588"/>
      <c r="E9" s="588"/>
      <c r="F9" s="588"/>
      <c r="G9" s="588"/>
      <c r="H9" s="588"/>
      <c r="I9" s="588"/>
      <c r="J9" s="588"/>
      <c r="K9" s="588"/>
      <c r="L9" s="588"/>
      <c r="M9" s="588"/>
      <c r="N9" s="588"/>
      <c r="O9" s="588"/>
      <c r="P9" s="589"/>
    </row>
    <row r="10" spans="2:16" ht="59.4" customHeight="1" thickTop="1" thickBot="1" x14ac:dyDescent="0.35">
      <c r="B10" s="590" t="s">
        <v>424</v>
      </c>
      <c r="C10" s="591"/>
      <c r="D10" s="591"/>
      <c r="E10" s="591"/>
      <c r="F10" s="591"/>
      <c r="G10" s="591"/>
      <c r="H10" s="591"/>
      <c r="I10" s="591"/>
      <c r="J10" s="591"/>
      <c r="K10" s="591"/>
      <c r="L10" s="591"/>
      <c r="M10" s="591"/>
      <c r="N10" s="591"/>
      <c r="O10" s="591"/>
      <c r="P10" s="592"/>
    </row>
    <row r="11" spans="2:16" ht="15.6" thickTop="1" thickBot="1" x14ac:dyDescent="0.35"/>
    <row r="12" spans="2:16" ht="16.2" thickTop="1" x14ac:dyDescent="0.3">
      <c r="B12" s="613" t="s">
        <v>14</v>
      </c>
      <c r="C12" s="614"/>
      <c r="D12" s="617" t="s">
        <v>314</v>
      </c>
      <c r="E12" s="618"/>
      <c r="F12" s="617" t="s">
        <v>5</v>
      </c>
      <c r="G12" s="619"/>
      <c r="I12" s="620" t="s">
        <v>17</v>
      </c>
      <c r="J12" s="621"/>
      <c r="K12" s="617" t="s">
        <v>18</v>
      </c>
      <c r="L12" s="618"/>
      <c r="M12" s="617" t="s">
        <v>19</v>
      </c>
      <c r="N12" s="619"/>
    </row>
    <row r="13" spans="2:16" ht="22.5" customHeight="1" thickBot="1" x14ac:dyDescent="0.35">
      <c r="B13" s="615">
        <v>600</v>
      </c>
      <c r="C13" s="616"/>
      <c r="D13" s="585">
        <v>4000000</v>
      </c>
      <c r="E13" s="595"/>
      <c r="F13" s="585">
        <f>B13*D13</f>
        <v>2400000000</v>
      </c>
      <c r="G13" s="586"/>
      <c r="I13" s="622">
        <v>0.45200000000000001</v>
      </c>
      <c r="J13" s="623"/>
      <c r="K13" s="624">
        <v>0.318</v>
      </c>
      <c r="L13" s="616"/>
      <c r="M13" s="585">
        <v>7319000</v>
      </c>
      <c r="N13" s="586"/>
    </row>
    <row r="14" spans="2:16" ht="15.6" thickTop="1" thickBot="1" x14ac:dyDescent="0.35"/>
    <row r="15" spans="2:16" ht="15" customHeight="1" thickTop="1" x14ac:dyDescent="0.3">
      <c r="B15" s="596" t="s">
        <v>13</v>
      </c>
      <c r="C15" s="597"/>
      <c r="D15" s="598" t="s">
        <v>201</v>
      </c>
      <c r="E15" s="597"/>
      <c r="F15" s="598" t="s">
        <v>16</v>
      </c>
      <c r="G15" s="599"/>
      <c r="I15" s="601" t="s">
        <v>425</v>
      </c>
      <c r="J15" s="602"/>
      <c r="K15" s="602"/>
      <c r="L15" s="602"/>
      <c r="M15" s="602"/>
      <c r="N15" s="602"/>
      <c r="O15" s="602"/>
      <c r="P15" s="603"/>
    </row>
    <row r="16" spans="2:16" ht="30.75" customHeight="1" thickBot="1" x14ac:dyDescent="0.35">
      <c r="B16" s="600">
        <v>8230000000000</v>
      </c>
      <c r="C16" s="595"/>
      <c r="D16" s="585">
        <f>B16*I13</f>
        <v>3719960000000</v>
      </c>
      <c r="E16" s="595"/>
      <c r="F16" s="585">
        <f>(M13*K13) + M13</f>
        <v>9646442</v>
      </c>
      <c r="G16" s="586"/>
      <c r="I16" s="604"/>
      <c r="J16" s="605"/>
      <c r="K16" s="605"/>
      <c r="L16" s="605"/>
      <c r="M16" s="605"/>
      <c r="N16" s="605"/>
      <c r="O16" s="605"/>
      <c r="P16" s="606"/>
    </row>
    <row r="17" spans="2:16" ht="15.6" thickTop="1" thickBot="1" x14ac:dyDescent="0.35"/>
    <row r="18" spans="2:16" ht="27" thickTop="1" thickBot="1" x14ac:dyDescent="0.55000000000000004">
      <c r="B18" s="587" t="s">
        <v>6</v>
      </c>
      <c r="C18" s="588"/>
      <c r="D18" s="588"/>
      <c r="E18" s="588"/>
      <c r="F18" s="588"/>
      <c r="G18" s="588"/>
      <c r="H18" s="588"/>
      <c r="I18" s="588"/>
      <c r="J18" s="588"/>
      <c r="K18" s="588"/>
      <c r="L18" s="588"/>
      <c r="M18" s="588"/>
      <c r="N18" s="588"/>
      <c r="O18" s="588"/>
      <c r="P18" s="589"/>
    </row>
    <row r="19" spans="2:16" ht="16.8" customHeight="1" thickTop="1" thickBot="1" x14ac:dyDescent="0.35">
      <c r="B19" s="607" t="s">
        <v>195</v>
      </c>
      <c r="C19" s="608"/>
      <c r="D19" s="608"/>
      <c r="E19" s="608"/>
      <c r="F19" s="608"/>
      <c r="G19" s="608"/>
      <c r="H19" s="591"/>
      <c r="I19" s="591"/>
      <c r="J19" s="591"/>
      <c r="K19" s="591"/>
      <c r="L19" s="591"/>
      <c r="M19" s="591"/>
      <c r="N19" s="591"/>
      <c r="O19" s="591"/>
      <c r="P19" s="592"/>
    </row>
    <row r="20" spans="2:16" ht="15.6" thickTop="1" thickBot="1" x14ac:dyDescent="0.35"/>
    <row r="21" spans="2:16" ht="34.5" customHeight="1" thickTop="1" x14ac:dyDescent="0.3">
      <c r="B21" s="580" t="s">
        <v>15</v>
      </c>
      <c r="C21" s="581"/>
      <c r="D21" s="581"/>
      <c r="E21" s="582"/>
    </row>
    <row r="22" spans="2:16" ht="15.6" x14ac:dyDescent="0.3">
      <c r="B22" s="538" t="s">
        <v>7</v>
      </c>
      <c r="C22" s="539" t="s">
        <v>8</v>
      </c>
      <c r="D22" s="583" t="s">
        <v>9</v>
      </c>
      <c r="E22" s="584"/>
    </row>
    <row r="23" spans="2:16" ht="18.75" customHeight="1" x14ac:dyDescent="0.5">
      <c r="B23" s="18">
        <v>2022</v>
      </c>
      <c r="C23" s="14">
        <v>0.03</v>
      </c>
      <c r="D23" s="609">
        <f>F13*C23</f>
        <v>72000000</v>
      </c>
      <c r="E23" s="610"/>
      <c r="F23" s="15"/>
    </row>
    <row r="24" spans="2:16" ht="15.6" x14ac:dyDescent="0.3">
      <c r="B24" s="18">
        <v>2023</v>
      </c>
      <c r="C24" s="14">
        <v>0.06</v>
      </c>
      <c r="D24" s="609">
        <f>F13*C24</f>
        <v>144000000</v>
      </c>
      <c r="E24" s="610"/>
    </row>
    <row r="25" spans="2:16" ht="16.2" thickBot="1" x14ac:dyDescent="0.35">
      <c r="B25" s="19">
        <v>2024</v>
      </c>
      <c r="C25" s="20">
        <v>0.1</v>
      </c>
      <c r="D25" s="593">
        <f>F13*C25</f>
        <v>240000000</v>
      </c>
      <c r="E25" s="594"/>
    </row>
    <row r="26" spans="2:16" ht="18.75" customHeight="1" thickTop="1" thickBot="1" x14ac:dyDescent="0.35"/>
    <row r="27" spans="2:16" ht="27" thickTop="1" thickBot="1" x14ac:dyDescent="0.55000000000000004">
      <c r="B27" s="587" t="s">
        <v>24</v>
      </c>
      <c r="C27" s="588"/>
      <c r="D27" s="588"/>
      <c r="E27" s="588"/>
      <c r="F27" s="588"/>
      <c r="G27" s="588"/>
      <c r="H27" s="588"/>
      <c r="I27" s="588"/>
      <c r="J27" s="588"/>
      <c r="K27" s="588"/>
      <c r="L27" s="588"/>
      <c r="M27" s="588"/>
      <c r="N27" s="588"/>
      <c r="O27" s="588"/>
      <c r="P27" s="589"/>
    </row>
    <row r="28" spans="2:16" ht="15.6" thickTop="1" thickBot="1" x14ac:dyDescent="0.35"/>
    <row r="29" spans="2:16" ht="16.8" thickTop="1" thickBot="1" x14ac:dyDescent="0.35">
      <c r="B29" s="536" t="s">
        <v>10</v>
      </c>
      <c r="C29" s="535" t="s">
        <v>11</v>
      </c>
      <c r="E29" s="541"/>
      <c r="F29" s="575" t="s">
        <v>431</v>
      </c>
      <c r="G29" s="576"/>
      <c r="H29" s="577"/>
      <c r="I29" s="532"/>
      <c r="J29" s="532"/>
    </row>
    <row r="30" spans="2:16" ht="48" customHeight="1" thickBot="1" x14ac:dyDescent="0.35">
      <c r="B30" s="21" t="s">
        <v>426</v>
      </c>
      <c r="C30" s="22">
        <v>23850</v>
      </c>
      <c r="E30" s="540" t="s">
        <v>20</v>
      </c>
      <c r="F30" s="542" t="s">
        <v>21</v>
      </c>
      <c r="G30" s="542" t="s">
        <v>430</v>
      </c>
      <c r="H30" s="542" t="s">
        <v>22</v>
      </c>
      <c r="I30" s="529"/>
      <c r="J30" s="529"/>
    </row>
    <row r="31" spans="2:16" ht="30.75" customHeight="1" thickBot="1" x14ac:dyDescent="0.35">
      <c r="B31" s="21" t="s">
        <v>427</v>
      </c>
      <c r="C31" s="22">
        <v>25000</v>
      </c>
      <c r="E31" s="578" t="s">
        <v>23</v>
      </c>
      <c r="F31" s="527" t="s">
        <v>426</v>
      </c>
      <c r="G31" s="527" t="s">
        <v>428</v>
      </c>
      <c r="H31" s="527" t="s">
        <v>432</v>
      </c>
      <c r="I31" s="530"/>
      <c r="J31" s="530"/>
    </row>
    <row r="32" spans="2:16" ht="16.2" thickBot="1" x14ac:dyDescent="0.35">
      <c r="B32" s="21" t="s">
        <v>428</v>
      </c>
      <c r="C32" s="22">
        <v>28450</v>
      </c>
      <c r="E32" s="579"/>
      <c r="F32" s="528" t="s">
        <v>427</v>
      </c>
      <c r="G32" s="528"/>
      <c r="H32" s="528"/>
      <c r="I32" s="531"/>
      <c r="J32" s="531"/>
    </row>
    <row r="33" spans="2:10" ht="36" customHeight="1" x14ac:dyDescent="0.3">
      <c r="B33" s="21" t="s">
        <v>429</v>
      </c>
      <c r="C33" s="22">
        <v>33700</v>
      </c>
      <c r="E33" s="534"/>
      <c r="F33" s="531"/>
      <c r="G33" s="533"/>
      <c r="H33" s="531"/>
      <c r="I33" s="531"/>
      <c r="J33" s="531"/>
    </row>
    <row r="34" spans="2:10" ht="16.5" customHeight="1" x14ac:dyDescent="0.3"/>
    <row r="36" spans="2:10" ht="16.5" customHeight="1" x14ac:dyDescent="0.3"/>
    <row r="38" spans="2:10" ht="16.5" customHeight="1" x14ac:dyDescent="0.3"/>
    <row r="50" ht="15" customHeight="1" x14ac:dyDescent="0.3"/>
    <row r="51" ht="15.75" customHeight="1" x14ac:dyDescent="0.3"/>
    <row r="52" ht="15" customHeight="1" x14ac:dyDescent="0.3"/>
    <row r="53" ht="15.75" customHeight="1" x14ac:dyDescent="0.3"/>
  </sheetData>
  <mergeCells count="34">
    <mergeCell ref="E1:K3"/>
    <mergeCell ref="B9:P9"/>
    <mergeCell ref="B10:P10"/>
    <mergeCell ref="B12:C12"/>
    <mergeCell ref="B13:C13"/>
    <mergeCell ref="D12:E12"/>
    <mergeCell ref="D13:E13"/>
    <mergeCell ref="F12:G12"/>
    <mergeCell ref="F13:G13"/>
    <mergeCell ref="I12:J12"/>
    <mergeCell ref="K12:L12"/>
    <mergeCell ref="I13:J13"/>
    <mergeCell ref="K13:L13"/>
    <mergeCell ref="M12:N12"/>
    <mergeCell ref="B6:P6"/>
    <mergeCell ref="B7:P7"/>
    <mergeCell ref="D25:E25"/>
    <mergeCell ref="D16:E16"/>
    <mergeCell ref="F16:G16"/>
    <mergeCell ref="B15:C15"/>
    <mergeCell ref="D15:E15"/>
    <mergeCell ref="F15:G15"/>
    <mergeCell ref="B16:C16"/>
    <mergeCell ref="I15:P16"/>
    <mergeCell ref="B19:P19"/>
    <mergeCell ref="D23:E23"/>
    <mergeCell ref="D24:E24"/>
    <mergeCell ref="B18:P18"/>
    <mergeCell ref="F29:H29"/>
    <mergeCell ref="E31:E32"/>
    <mergeCell ref="B21:E21"/>
    <mergeCell ref="D22:E22"/>
    <mergeCell ref="M13:N13"/>
    <mergeCell ref="B27:P27"/>
  </mergeCells>
  <pageMargins left="0.7" right="0.7" top="0.75" bottom="0.75" header="0.3" footer="0.3"/>
  <pageSetup orientation="portrait" r:id="rId1"/>
  <drawing r:id="rId2"/>
  <legacyDrawing r:id="rId3"/>
  <controls>
    <mc:AlternateContent xmlns:mc="http://schemas.openxmlformats.org/markup-compatibility/2006">
      <mc:Choice Requires="x14">
        <control shapeId="4097" r:id="rId4" name="btnIndice">
          <controlPr defaultSize="0" autoLine="0" r:id="rId5">
            <anchor moveWithCells="1">
              <from>
                <xdr:col>0</xdr:col>
                <xdr:colOff>441960</xdr:colOff>
                <xdr:row>0</xdr:row>
                <xdr:rowOff>106680</xdr:rowOff>
              </from>
              <to>
                <xdr:col>2</xdr:col>
                <xdr:colOff>121920</xdr:colOff>
                <xdr:row>2</xdr:row>
                <xdr:rowOff>38100</xdr:rowOff>
              </to>
            </anchor>
          </controlPr>
        </control>
      </mc:Choice>
      <mc:Fallback>
        <control shapeId="4097" r:id="rId4" name="btnIndice"/>
      </mc:Fallback>
    </mc:AlternateContent>
    <mc:AlternateContent xmlns:mc="http://schemas.openxmlformats.org/markup-compatibility/2006">
      <mc:Choice Requires="x14">
        <control shapeId="4098" r:id="rId6" name="btnAnterior">
          <controlPr defaultSize="0" autoLine="0" r:id="rId7">
            <anchor moveWithCells="1">
              <from>
                <xdr:col>11</xdr:col>
                <xdr:colOff>228600</xdr:colOff>
                <xdr:row>0</xdr:row>
                <xdr:rowOff>106680</xdr:rowOff>
              </from>
              <to>
                <xdr:col>13</xdr:col>
                <xdr:colOff>312420</xdr:colOff>
                <xdr:row>2</xdr:row>
                <xdr:rowOff>38100</xdr:rowOff>
              </to>
            </anchor>
          </controlPr>
        </control>
      </mc:Choice>
      <mc:Fallback>
        <control shapeId="4098" r:id="rId6" name="btnAnterior"/>
      </mc:Fallback>
    </mc:AlternateContent>
    <mc:AlternateContent xmlns:mc="http://schemas.openxmlformats.org/markup-compatibility/2006">
      <mc:Choice Requires="x14">
        <control shapeId="4099" r:id="rId8" name="btnSiguiente">
          <controlPr defaultSize="0" autoLine="0" r:id="rId9">
            <anchor moveWithCells="1">
              <from>
                <xdr:col>13</xdr:col>
                <xdr:colOff>495300</xdr:colOff>
                <xdr:row>0</xdr:row>
                <xdr:rowOff>106680</xdr:rowOff>
              </from>
              <to>
                <xdr:col>15</xdr:col>
                <xdr:colOff>373380</xdr:colOff>
                <xdr:row>2</xdr:row>
                <xdr:rowOff>38100</xdr:rowOff>
              </to>
            </anchor>
          </controlPr>
        </control>
      </mc:Choice>
      <mc:Fallback>
        <control shapeId="4099" r:id="rId8" name="btnSiguient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ZF42"/>
  <sheetViews>
    <sheetView showGridLines="0" zoomScale="75" zoomScaleNormal="75" workbookViewId="0">
      <pane ySplit="3" topLeftCell="A4" activePane="bottomLeft" state="frozen"/>
      <selection pane="bottomLeft" activeCell="H13" sqref="H13"/>
    </sheetView>
  </sheetViews>
  <sheetFormatPr baseColWidth="10" defaultRowHeight="14.4" x14ac:dyDescent="0.3"/>
  <sheetData>
    <row r="1" spans="1:682" s="13" customFormat="1" x14ac:dyDescent="0.3">
      <c r="A1" s="525"/>
      <c r="B1" s="525"/>
      <c r="C1" s="525"/>
      <c r="D1" s="525"/>
      <c r="E1" s="525"/>
      <c r="F1" s="525"/>
      <c r="G1" s="573" t="s">
        <v>321</v>
      </c>
      <c r="H1" s="573"/>
      <c r="I1" s="573"/>
      <c r="J1" s="573"/>
      <c r="K1" s="573"/>
      <c r="L1" s="525"/>
      <c r="M1" s="525"/>
      <c r="N1" s="525"/>
      <c r="O1" s="525"/>
      <c r="P1" s="525"/>
      <c r="Q1" s="525"/>
      <c r="R1" s="525"/>
      <c r="S1" s="525"/>
      <c r="T1" s="525"/>
      <c r="U1" s="525"/>
      <c r="V1" s="525"/>
      <c r="W1" s="525"/>
      <c r="X1" s="525"/>
      <c r="Y1" s="525"/>
      <c r="Z1" s="525"/>
      <c r="AA1" s="525"/>
      <c r="AB1" s="525"/>
      <c r="AC1" s="525"/>
      <c r="AD1" s="525"/>
      <c r="AE1" s="525"/>
      <c r="AF1" s="525"/>
      <c r="AG1" s="525"/>
      <c r="AH1" s="525"/>
      <c r="AI1" s="525"/>
      <c r="AJ1" s="525"/>
      <c r="AK1" s="525"/>
      <c r="AL1" s="525"/>
      <c r="AM1" s="525"/>
      <c r="AN1" s="525"/>
      <c r="AO1" s="525"/>
      <c r="AP1" s="525"/>
      <c r="AQ1" s="525"/>
      <c r="AR1" s="525"/>
      <c r="AS1" s="525"/>
      <c r="AT1" s="525"/>
      <c r="AU1" s="525"/>
      <c r="AV1" s="525"/>
      <c r="AW1" s="525"/>
      <c r="AX1" s="525"/>
      <c r="AY1" s="525"/>
      <c r="AZ1" s="525"/>
      <c r="BA1" s="525"/>
      <c r="BB1" s="525"/>
      <c r="BC1" s="525"/>
      <c r="BD1" s="525"/>
      <c r="BE1" s="525"/>
      <c r="BF1" s="525"/>
      <c r="BG1" s="525"/>
      <c r="BH1" s="525"/>
      <c r="BI1" s="525"/>
      <c r="BJ1" s="525"/>
      <c r="BK1" s="525"/>
      <c r="BL1" s="525"/>
      <c r="BM1" s="525"/>
      <c r="BN1" s="525"/>
      <c r="BO1" s="525"/>
      <c r="BP1" s="525"/>
      <c r="BQ1" s="525"/>
      <c r="BR1" s="525"/>
      <c r="BS1" s="525"/>
      <c r="BT1" s="525"/>
      <c r="BU1" s="525"/>
      <c r="BV1" s="525"/>
      <c r="BW1" s="525"/>
      <c r="BX1" s="525"/>
      <c r="BY1" s="525"/>
      <c r="BZ1" s="525"/>
      <c r="CA1" s="525"/>
      <c r="CB1" s="525"/>
      <c r="CC1" s="525"/>
      <c r="CD1" s="525"/>
      <c r="CE1" s="525"/>
      <c r="CF1" s="525"/>
      <c r="CG1" s="525"/>
      <c r="CH1" s="525"/>
      <c r="CI1" s="525"/>
      <c r="CJ1" s="525"/>
      <c r="CK1" s="525"/>
      <c r="CL1" s="525"/>
      <c r="CM1" s="525"/>
      <c r="CN1" s="525"/>
      <c r="CO1" s="525"/>
      <c r="CP1" s="525"/>
      <c r="CQ1" s="525"/>
      <c r="CR1" s="525"/>
      <c r="CS1" s="525"/>
      <c r="CT1" s="525"/>
      <c r="CU1" s="525"/>
      <c r="CV1" s="525"/>
      <c r="CW1" s="525"/>
      <c r="CX1" s="525"/>
      <c r="CY1" s="525"/>
      <c r="CZ1" s="525"/>
      <c r="DA1" s="525"/>
      <c r="DB1" s="525"/>
      <c r="DC1" s="525"/>
      <c r="DD1" s="525"/>
      <c r="DE1" s="525"/>
      <c r="DF1" s="525"/>
      <c r="DG1" s="525"/>
      <c r="DH1" s="525"/>
      <c r="DI1" s="525"/>
      <c r="DJ1" s="525"/>
      <c r="DK1" s="525"/>
      <c r="DL1" s="525"/>
      <c r="DM1" s="525"/>
      <c r="DN1" s="525"/>
      <c r="DO1" s="525"/>
      <c r="DP1" s="525"/>
      <c r="DQ1" s="525"/>
      <c r="DR1" s="525"/>
      <c r="DS1" s="525"/>
      <c r="DT1" s="525"/>
      <c r="DU1" s="525"/>
      <c r="DV1" s="525"/>
      <c r="DW1" s="525"/>
      <c r="DX1" s="525"/>
      <c r="DY1" s="525"/>
      <c r="DZ1" s="525"/>
      <c r="EA1" s="525"/>
      <c r="EB1" s="525"/>
      <c r="EC1" s="525"/>
      <c r="ED1" s="525"/>
      <c r="EE1" s="525"/>
      <c r="EF1" s="525"/>
      <c r="EG1" s="525"/>
      <c r="EH1" s="525"/>
      <c r="EI1" s="525"/>
      <c r="EJ1" s="525"/>
      <c r="EK1" s="525"/>
      <c r="EL1" s="525"/>
      <c r="EM1" s="525"/>
      <c r="EN1" s="525"/>
      <c r="EO1" s="525"/>
      <c r="EP1" s="525"/>
      <c r="EQ1" s="525"/>
      <c r="ER1" s="525"/>
      <c r="ES1" s="525"/>
      <c r="ET1" s="525"/>
      <c r="EU1" s="525"/>
      <c r="EV1" s="525"/>
      <c r="EW1" s="525"/>
      <c r="EX1" s="525"/>
      <c r="EY1" s="525"/>
      <c r="EZ1" s="525"/>
      <c r="FA1" s="525"/>
      <c r="FB1" s="525"/>
      <c r="FC1" s="525"/>
      <c r="FD1" s="525"/>
      <c r="FE1" s="525"/>
      <c r="FF1" s="525"/>
      <c r="FG1" s="525"/>
      <c r="FH1" s="525"/>
      <c r="FI1" s="525"/>
      <c r="FJ1" s="525"/>
      <c r="FK1" s="525"/>
      <c r="FL1" s="525"/>
      <c r="FM1" s="525"/>
      <c r="FN1" s="525"/>
      <c r="FO1" s="525"/>
      <c r="FP1" s="525"/>
      <c r="FQ1" s="525"/>
      <c r="FR1" s="525"/>
      <c r="FS1" s="525"/>
      <c r="FT1" s="525"/>
      <c r="FU1" s="525"/>
      <c r="FV1" s="525"/>
      <c r="FW1" s="525"/>
      <c r="FX1" s="525"/>
      <c r="FY1" s="525"/>
      <c r="FZ1" s="525"/>
      <c r="GA1" s="525"/>
      <c r="GB1" s="525"/>
      <c r="GC1" s="525"/>
      <c r="GD1" s="525"/>
      <c r="GE1" s="525"/>
      <c r="GF1" s="525"/>
      <c r="GG1" s="525"/>
      <c r="GH1" s="525"/>
      <c r="GI1" s="525"/>
      <c r="GJ1" s="525"/>
      <c r="GK1" s="525"/>
      <c r="GL1" s="525"/>
      <c r="GM1" s="525"/>
      <c r="GN1" s="525"/>
      <c r="GO1" s="525"/>
      <c r="GP1" s="525"/>
      <c r="GQ1" s="525"/>
      <c r="GR1" s="525"/>
      <c r="GS1" s="525"/>
      <c r="GT1" s="525"/>
      <c r="GU1" s="525"/>
      <c r="GV1" s="525"/>
      <c r="GW1" s="525"/>
      <c r="GX1" s="525"/>
      <c r="GY1" s="525"/>
      <c r="GZ1" s="525"/>
      <c r="HA1" s="525"/>
      <c r="HB1" s="525"/>
      <c r="HC1" s="525"/>
      <c r="HD1" s="525"/>
      <c r="HE1" s="525"/>
      <c r="HF1" s="525"/>
      <c r="HG1" s="525"/>
      <c r="HH1" s="525"/>
      <c r="HI1" s="525"/>
      <c r="HJ1" s="525"/>
      <c r="HK1" s="525"/>
      <c r="HL1" s="525"/>
      <c r="HM1" s="525"/>
      <c r="HN1" s="525"/>
      <c r="HO1" s="525"/>
      <c r="HP1" s="525"/>
      <c r="HQ1" s="525"/>
      <c r="HR1" s="525"/>
      <c r="HS1" s="525"/>
      <c r="HT1" s="525"/>
      <c r="HU1" s="525"/>
      <c r="HV1" s="525"/>
      <c r="HW1" s="525"/>
      <c r="HX1" s="525"/>
      <c r="HY1" s="525"/>
      <c r="HZ1" s="525"/>
      <c r="IA1" s="525"/>
      <c r="IB1" s="525"/>
      <c r="IC1" s="525"/>
      <c r="ID1" s="525"/>
      <c r="IE1" s="525"/>
      <c r="IF1" s="525"/>
      <c r="IG1" s="525"/>
      <c r="IH1" s="525"/>
      <c r="II1" s="525"/>
      <c r="IJ1" s="525"/>
      <c r="IK1" s="525"/>
      <c r="IL1" s="525"/>
      <c r="IM1" s="525"/>
      <c r="IN1" s="525"/>
      <c r="IO1" s="525"/>
      <c r="IP1" s="525"/>
      <c r="IQ1" s="525"/>
      <c r="IR1" s="525"/>
      <c r="IS1" s="525"/>
      <c r="IT1" s="525"/>
      <c r="IU1" s="525"/>
      <c r="IV1" s="525"/>
      <c r="IW1" s="525"/>
      <c r="IX1" s="525"/>
      <c r="IY1" s="525"/>
      <c r="IZ1" s="525"/>
      <c r="JA1" s="525"/>
      <c r="JB1" s="525"/>
      <c r="JC1" s="525"/>
      <c r="JD1" s="525"/>
      <c r="JE1" s="525"/>
      <c r="JF1" s="525"/>
      <c r="JG1" s="525"/>
      <c r="JH1" s="525"/>
      <c r="JI1" s="525"/>
      <c r="JJ1" s="525"/>
      <c r="JK1" s="525"/>
      <c r="JL1" s="525"/>
      <c r="JM1" s="525"/>
      <c r="JN1" s="525"/>
      <c r="JO1" s="525"/>
      <c r="JP1" s="525"/>
      <c r="JQ1" s="525"/>
      <c r="JR1" s="525"/>
      <c r="JS1" s="525"/>
      <c r="JT1" s="525"/>
      <c r="JU1" s="525"/>
      <c r="JV1" s="525"/>
      <c r="JW1" s="525"/>
      <c r="JX1" s="525"/>
      <c r="JY1" s="525"/>
      <c r="JZ1" s="525"/>
      <c r="KA1" s="525"/>
      <c r="KB1" s="525"/>
      <c r="KC1" s="525"/>
      <c r="KD1" s="525"/>
      <c r="KE1" s="525"/>
      <c r="KF1" s="525"/>
      <c r="KG1" s="525"/>
      <c r="KH1" s="525"/>
      <c r="KI1" s="525"/>
      <c r="KJ1" s="525"/>
      <c r="KK1" s="525"/>
      <c r="KL1" s="525"/>
      <c r="KM1" s="525"/>
      <c r="KN1" s="525"/>
      <c r="KO1" s="525"/>
      <c r="KP1" s="525"/>
      <c r="KQ1" s="525"/>
      <c r="KR1" s="525"/>
      <c r="KS1" s="525"/>
      <c r="KT1" s="525"/>
      <c r="KU1" s="525"/>
      <c r="KV1" s="525"/>
      <c r="KW1" s="525"/>
      <c r="KX1" s="525"/>
      <c r="KY1" s="525"/>
      <c r="KZ1" s="525"/>
      <c r="LA1" s="525"/>
      <c r="LB1" s="525"/>
      <c r="LC1" s="525"/>
      <c r="LD1" s="525"/>
      <c r="LE1" s="525"/>
      <c r="LF1" s="525"/>
      <c r="LG1" s="525"/>
      <c r="LH1" s="525"/>
      <c r="LI1" s="525"/>
      <c r="LJ1" s="525"/>
      <c r="LK1" s="525"/>
      <c r="LL1" s="525"/>
      <c r="LM1" s="525"/>
      <c r="LN1" s="525"/>
      <c r="LO1" s="525"/>
      <c r="LP1" s="525"/>
      <c r="LQ1" s="525"/>
      <c r="LR1" s="525"/>
      <c r="LS1" s="525"/>
      <c r="LT1" s="525"/>
      <c r="LU1" s="525"/>
      <c r="LV1" s="525"/>
      <c r="LW1" s="525"/>
      <c r="LX1" s="525"/>
      <c r="LY1" s="525"/>
      <c r="LZ1" s="525"/>
      <c r="MA1" s="525"/>
      <c r="MB1" s="525"/>
      <c r="MC1" s="525"/>
      <c r="MD1" s="525"/>
      <c r="ME1" s="525"/>
      <c r="MF1" s="525"/>
      <c r="MG1" s="525"/>
      <c r="MH1" s="525"/>
      <c r="MI1" s="525"/>
      <c r="MJ1" s="525"/>
      <c r="MK1" s="525"/>
      <c r="ML1" s="525"/>
      <c r="MM1" s="525"/>
      <c r="MN1" s="525"/>
      <c r="MO1" s="525"/>
      <c r="MP1" s="525"/>
      <c r="MQ1" s="525"/>
      <c r="MR1" s="525"/>
      <c r="MS1" s="525"/>
      <c r="MT1" s="525"/>
      <c r="MU1" s="525"/>
      <c r="MV1" s="525"/>
      <c r="MW1" s="525"/>
      <c r="MX1" s="525"/>
      <c r="MY1" s="525"/>
      <c r="MZ1" s="525"/>
      <c r="NA1" s="525"/>
      <c r="NB1" s="525"/>
      <c r="NC1" s="525"/>
      <c r="ND1" s="525"/>
      <c r="NE1" s="525"/>
      <c r="NF1" s="525"/>
      <c r="NG1" s="525"/>
      <c r="NH1" s="525"/>
      <c r="NI1" s="525"/>
      <c r="NJ1" s="525"/>
      <c r="NK1" s="525"/>
      <c r="NL1" s="525"/>
      <c r="NM1" s="525"/>
      <c r="NN1" s="525"/>
      <c r="NO1" s="525"/>
      <c r="NP1" s="525"/>
      <c r="NQ1" s="525"/>
      <c r="NR1" s="525"/>
      <c r="NS1" s="525"/>
      <c r="NT1" s="525"/>
      <c r="NU1" s="525"/>
      <c r="NV1" s="525"/>
      <c r="NW1" s="525"/>
      <c r="NX1" s="525"/>
      <c r="NY1" s="525"/>
      <c r="NZ1" s="525"/>
      <c r="OA1" s="525"/>
      <c r="OB1" s="525"/>
      <c r="OC1" s="525"/>
      <c r="OD1" s="525"/>
      <c r="OE1" s="525"/>
      <c r="OF1" s="525"/>
      <c r="OG1" s="525"/>
      <c r="OH1" s="525"/>
      <c r="OI1" s="525"/>
      <c r="OJ1" s="525"/>
      <c r="OK1" s="525"/>
      <c r="OL1" s="525"/>
      <c r="OM1" s="525"/>
      <c r="ON1" s="525"/>
      <c r="OO1" s="525"/>
      <c r="OP1" s="525"/>
      <c r="OQ1" s="525"/>
      <c r="OR1" s="525"/>
      <c r="OS1" s="525"/>
      <c r="OT1" s="525"/>
      <c r="OU1" s="525"/>
      <c r="OV1" s="525"/>
      <c r="OW1" s="525"/>
      <c r="OX1" s="525"/>
      <c r="OY1" s="525"/>
      <c r="OZ1" s="525"/>
      <c r="PA1" s="525"/>
      <c r="PB1" s="525"/>
      <c r="PC1" s="525"/>
      <c r="PD1" s="525"/>
      <c r="PE1" s="525"/>
      <c r="PF1" s="525"/>
      <c r="PG1" s="525"/>
      <c r="PH1" s="525"/>
      <c r="PI1" s="525"/>
      <c r="PJ1" s="525"/>
      <c r="PK1" s="525"/>
      <c r="PL1" s="525"/>
      <c r="PM1" s="525"/>
      <c r="PN1" s="525"/>
      <c r="PO1" s="525"/>
      <c r="PP1" s="525"/>
      <c r="PQ1" s="525"/>
      <c r="PR1" s="525"/>
      <c r="PS1" s="525"/>
      <c r="PT1" s="525"/>
      <c r="PU1" s="525"/>
      <c r="PV1" s="525"/>
      <c r="PW1" s="525"/>
      <c r="PX1" s="525"/>
      <c r="PY1" s="525"/>
      <c r="PZ1" s="525"/>
      <c r="QA1" s="525"/>
      <c r="QB1" s="525"/>
      <c r="QC1" s="525"/>
      <c r="QD1" s="525"/>
      <c r="QE1" s="525"/>
      <c r="QF1" s="525"/>
      <c r="QG1" s="525"/>
      <c r="QH1" s="525"/>
      <c r="QI1" s="525"/>
      <c r="QJ1" s="525"/>
      <c r="QK1" s="525"/>
      <c r="QL1" s="525"/>
      <c r="QM1" s="525"/>
      <c r="QN1" s="525"/>
      <c r="QO1" s="525"/>
      <c r="QP1" s="525"/>
      <c r="QQ1" s="525"/>
      <c r="QR1" s="525"/>
      <c r="QS1" s="525"/>
      <c r="QT1" s="525"/>
      <c r="QU1" s="525"/>
      <c r="QV1" s="525"/>
      <c r="QW1" s="525"/>
      <c r="QX1" s="525"/>
      <c r="QY1" s="525"/>
      <c r="QZ1" s="525"/>
      <c r="RA1" s="525"/>
      <c r="RB1" s="525"/>
      <c r="RC1" s="525"/>
      <c r="RD1" s="525"/>
      <c r="RE1" s="525"/>
      <c r="RF1" s="525"/>
      <c r="RG1" s="525"/>
      <c r="RH1" s="525"/>
      <c r="RI1" s="525"/>
      <c r="RJ1" s="525"/>
      <c r="RK1" s="525"/>
      <c r="RL1" s="525"/>
      <c r="RM1" s="525"/>
      <c r="RN1" s="525"/>
      <c r="RO1" s="525"/>
      <c r="RP1" s="525"/>
      <c r="RQ1" s="525"/>
      <c r="RR1" s="525"/>
      <c r="RS1" s="525"/>
      <c r="RT1" s="525"/>
      <c r="RU1" s="525"/>
      <c r="RV1" s="525"/>
      <c r="RW1" s="525"/>
      <c r="RX1" s="525"/>
      <c r="RY1" s="525"/>
      <c r="RZ1" s="525"/>
      <c r="SA1" s="525"/>
      <c r="SB1" s="525"/>
      <c r="SC1" s="525"/>
      <c r="SD1" s="525"/>
      <c r="SE1" s="525"/>
      <c r="SF1" s="525"/>
      <c r="SG1" s="525"/>
      <c r="SH1" s="525"/>
      <c r="SI1" s="525"/>
      <c r="SJ1" s="525"/>
      <c r="SK1" s="525"/>
      <c r="SL1" s="525"/>
      <c r="SM1" s="525"/>
      <c r="SN1" s="525"/>
      <c r="SO1" s="525"/>
      <c r="SP1" s="525"/>
      <c r="SQ1" s="525"/>
      <c r="SR1" s="525"/>
      <c r="SS1" s="525"/>
      <c r="ST1" s="525"/>
      <c r="SU1" s="525"/>
      <c r="SV1" s="525"/>
      <c r="SW1" s="525"/>
      <c r="SX1" s="525"/>
      <c r="SY1" s="525"/>
      <c r="SZ1" s="525"/>
      <c r="TA1" s="525"/>
      <c r="TB1" s="525"/>
      <c r="TC1" s="525"/>
      <c r="TD1" s="525"/>
      <c r="TE1" s="525"/>
      <c r="TF1" s="525"/>
      <c r="TG1" s="525"/>
      <c r="TH1" s="525"/>
      <c r="TI1" s="525"/>
      <c r="TJ1" s="525"/>
      <c r="TK1" s="525"/>
      <c r="TL1" s="525"/>
      <c r="TM1" s="525"/>
      <c r="TN1" s="525"/>
      <c r="TO1" s="525"/>
      <c r="TP1" s="525"/>
      <c r="TQ1" s="525"/>
      <c r="TR1" s="525"/>
      <c r="TS1" s="525"/>
      <c r="TT1" s="525"/>
      <c r="TU1" s="525"/>
      <c r="TV1" s="525"/>
      <c r="TW1" s="525"/>
      <c r="TX1" s="525"/>
      <c r="TY1" s="525"/>
      <c r="TZ1" s="525"/>
      <c r="UA1" s="525"/>
      <c r="UB1" s="525"/>
      <c r="UC1" s="525"/>
      <c r="UD1" s="525"/>
      <c r="UE1" s="525"/>
      <c r="UF1" s="525"/>
      <c r="UG1" s="525"/>
      <c r="UH1" s="525"/>
      <c r="UI1" s="525"/>
      <c r="UJ1" s="525"/>
      <c r="UK1" s="525"/>
      <c r="UL1" s="525"/>
      <c r="UM1" s="525"/>
      <c r="UN1" s="525"/>
      <c r="UO1" s="525"/>
      <c r="UP1" s="525"/>
      <c r="UQ1" s="525"/>
      <c r="UR1" s="525"/>
      <c r="US1" s="525"/>
      <c r="UT1" s="525"/>
      <c r="UU1" s="525"/>
      <c r="UV1" s="525"/>
      <c r="UW1" s="525"/>
      <c r="UX1" s="525"/>
      <c r="UY1" s="525"/>
      <c r="UZ1" s="525"/>
      <c r="VA1" s="525"/>
      <c r="VB1" s="525"/>
      <c r="VC1" s="525"/>
      <c r="VD1" s="525"/>
      <c r="VE1" s="525"/>
      <c r="VF1" s="525"/>
      <c r="VG1" s="525"/>
      <c r="VH1" s="525"/>
      <c r="VI1" s="525"/>
      <c r="VJ1" s="525"/>
      <c r="VK1" s="525"/>
      <c r="VL1" s="525"/>
      <c r="VM1" s="525"/>
      <c r="VN1" s="525"/>
      <c r="VO1" s="525"/>
      <c r="VP1" s="525"/>
      <c r="VQ1" s="525"/>
      <c r="VR1" s="525"/>
      <c r="VS1" s="525"/>
      <c r="VT1" s="525"/>
      <c r="VU1" s="525"/>
      <c r="VV1" s="525"/>
      <c r="VW1" s="525"/>
      <c r="VX1" s="525"/>
      <c r="VY1" s="525"/>
      <c r="VZ1" s="525"/>
      <c r="WA1" s="525"/>
      <c r="WB1" s="525"/>
      <c r="WC1" s="525"/>
      <c r="WD1" s="525"/>
      <c r="WE1" s="525"/>
      <c r="WF1" s="525"/>
      <c r="WG1" s="525"/>
      <c r="WH1" s="525"/>
      <c r="WI1" s="525"/>
      <c r="WJ1" s="525"/>
      <c r="WK1" s="525"/>
      <c r="WL1" s="525"/>
      <c r="WM1" s="525"/>
      <c r="WN1" s="525"/>
      <c r="WO1" s="525"/>
      <c r="WP1" s="525"/>
      <c r="WQ1" s="525"/>
      <c r="WR1" s="525"/>
      <c r="WS1" s="525"/>
      <c r="WT1" s="525"/>
      <c r="WU1" s="525"/>
      <c r="WV1" s="525"/>
      <c r="WW1" s="525"/>
      <c r="WX1" s="525"/>
      <c r="WY1" s="525"/>
      <c r="WZ1" s="525"/>
      <c r="XA1" s="525"/>
      <c r="XB1" s="525"/>
      <c r="XC1" s="525"/>
      <c r="XD1" s="525"/>
      <c r="XE1" s="525"/>
      <c r="XF1" s="525"/>
      <c r="XG1" s="525"/>
      <c r="XH1" s="525"/>
      <c r="XI1" s="525"/>
      <c r="XJ1" s="525"/>
      <c r="XK1" s="525"/>
      <c r="XL1" s="525"/>
      <c r="XM1" s="525"/>
      <c r="XN1" s="525"/>
      <c r="XO1" s="525"/>
      <c r="XP1" s="525"/>
      <c r="XQ1" s="525"/>
      <c r="XR1" s="525"/>
      <c r="XS1" s="525"/>
      <c r="XT1" s="525"/>
      <c r="XU1" s="525"/>
      <c r="XV1" s="525"/>
      <c r="XW1" s="525"/>
      <c r="XX1" s="525"/>
      <c r="XY1" s="525"/>
      <c r="XZ1" s="525"/>
      <c r="YA1" s="525"/>
      <c r="YB1" s="525"/>
      <c r="YC1" s="525"/>
      <c r="YD1" s="525"/>
      <c r="YE1" s="525"/>
      <c r="YF1" s="525"/>
      <c r="YG1" s="525"/>
      <c r="YH1" s="525"/>
      <c r="YI1" s="525"/>
      <c r="YJ1" s="525"/>
      <c r="YK1" s="525"/>
      <c r="YL1" s="525"/>
      <c r="YM1" s="525"/>
      <c r="YN1" s="525"/>
      <c r="YO1" s="525"/>
      <c r="YP1" s="525"/>
      <c r="YQ1" s="525"/>
      <c r="YR1" s="525"/>
      <c r="YS1" s="525"/>
      <c r="YT1" s="525"/>
      <c r="YU1" s="525"/>
      <c r="YV1" s="525"/>
      <c r="YW1" s="525"/>
      <c r="YX1" s="525"/>
      <c r="YY1" s="525"/>
      <c r="YZ1" s="525"/>
      <c r="ZA1" s="525"/>
      <c r="ZB1" s="525"/>
      <c r="ZC1" s="525"/>
      <c r="ZD1" s="525"/>
      <c r="ZE1" s="525"/>
      <c r="ZF1" s="525"/>
    </row>
    <row r="2" spans="1:682" s="13" customFormat="1" x14ac:dyDescent="0.3">
      <c r="A2" s="525"/>
      <c r="B2" s="525"/>
      <c r="C2" s="525"/>
      <c r="D2" s="525"/>
      <c r="E2" s="525"/>
      <c r="F2" s="525"/>
      <c r="G2" s="573"/>
      <c r="H2" s="573"/>
      <c r="I2" s="573"/>
      <c r="J2" s="573"/>
      <c r="K2" s="573"/>
      <c r="L2" s="525"/>
      <c r="M2" s="525"/>
      <c r="N2" s="525"/>
      <c r="O2" s="525"/>
      <c r="P2" s="525"/>
      <c r="Q2" s="525"/>
      <c r="R2" s="525"/>
      <c r="S2" s="525"/>
      <c r="T2" s="525"/>
      <c r="U2" s="525"/>
      <c r="V2" s="525"/>
      <c r="W2" s="525"/>
      <c r="X2" s="525"/>
      <c r="Y2" s="525"/>
      <c r="Z2" s="525"/>
      <c r="AA2" s="525"/>
      <c r="AB2" s="525"/>
      <c r="AC2" s="525"/>
      <c r="AD2" s="525"/>
      <c r="AE2" s="525"/>
      <c r="AF2" s="525"/>
      <c r="AG2" s="525"/>
      <c r="AH2" s="525"/>
      <c r="AI2" s="525"/>
      <c r="AJ2" s="525"/>
      <c r="AK2" s="525"/>
      <c r="AL2" s="525"/>
      <c r="AM2" s="525"/>
      <c r="AN2" s="525"/>
      <c r="AO2" s="525"/>
      <c r="AP2" s="525"/>
      <c r="AQ2" s="525"/>
      <c r="AR2" s="525"/>
      <c r="AS2" s="525"/>
      <c r="AT2" s="525"/>
      <c r="AU2" s="525"/>
      <c r="AV2" s="525"/>
      <c r="AW2" s="525"/>
      <c r="AX2" s="525"/>
      <c r="AY2" s="525"/>
      <c r="AZ2" s="525"/>
      <c r="BA2" s="525"/>
      <c r="BB2" s="525"/>
      <c r="BC2" s="525"/>
      <c r="BD2" s="525"/>
      <c r="BE2" s="525"/>
      <c r="BF2" s="525"/>
      <c r="BG2" s="525"/>
      <c r="BH2" s="525"/>
      <c r="BI2" s="525"/>
      <c r="BJ2" s="525"/>
      <c r="BK2" s="525"/>
      <c r="BL2" s="525"/>
      <c r="BM2" s="525"/>
      <c r="BN2" s="525"/>
      <c r="BO2" s="525"/>
      <c r="BP2" s="525"/>
      <c r="BQ2" s="525"/>
      <c r="BR2" s="525"/>
      <c r="BS2" s="525"/>
      <c r="BT2" s="525"/>
      <c r="BU2" s="525"/>
      <c r="BV2" s="525"/>
      <c r="BW2" s="525"/>
      <c r="BX2" s="525"/>
      <c r="BY2" s="525"/>
      <c r="BZ2" s="525"/>
      <c r="CA2" s="525"/>
      <c r="CB2" s="525"/>
      <c r="CC2" s="525"/>
      <c r="CD2" s="525"/>
      <c r="CE2" s="525"/>
      <c r="CF2" s="525"/>
      <c r="CG2" s="525"/>
      <c r="CH2" s="525"/>
      <c r="CI2" s="525"/>
      <c r="CJ2" s="525"/>
      <c r="CK2" s="525"/>
      <c r="CL2" s="525"/>
      <c r="CM2" s="525"/>
      <c r="CN2" s="525"/>
      <c r="CO2" s="525"/>
      <c r="CP2" s="525"/>
      <c r="CQ2" s="525"/>
      <c r="CR2" s="525"/>
      <c r="CS2" s="525"/>
      <c r="CT2" s="525"/>
      <c r="CU2" s="525"/>
      <c r="CV2" s="525"/>
      <c r="CW2" s="525"/>
      <c r="CX2" s="525"/>
      <c r="CY2" s="525"/>
      <c r="CZ2" s="525"/>
      <c r="DA2" s="525"/>
      <c r="DB2" s="525"/>
      <c r="DC2" s="525"/>
      <c r="DD2" s="525"/>
      <c r="DE2" s="525"/>
      <c r="DF2" s="525"/>
      <c r="DG2" s="525"/>
      <c r="DH2" s="525"/>
      <c r="DI2" s="525"/>
      <c r="DJ2" s="525"/>
      <c r="DK2" s="525"/>
      <c r="DL2" s="525"/>
      <c r="DM2" s="525"/>
      <c r="DN2" s="525"/>
      <c r="DO2" s="525"/>
      <c r="DP2" s="525"/>
      <c r="DQ2" s="525"/>
      <c r="DR2" s="525"/>
      <c r="DS2" s="525"/>
      <c r="DT2" s="525"/>
      <c r="DU2" s="525"/>
      <c r="DV2" s="525"/>
      <c r="DW2" s="525"/>
      <c r="DX2" s="525"/>
      <c r="DY2" s="525"/>
      <c r="DZ2" s="525"/>
      <c r="EA2" s="525"/>
      <c r="EB2" s="525"/>
      <c r="EC2" s="525"/>
      <c r="ED2" s="525"/>
      <c r="EE2" s="525"/>
      <c r="EF2" s="525"/>
      <c r="EG2" s="525"/>
      <c r="EH2" s="525"/>
      <c r="EI2" s="525"/>
      <c r="EJ2" s="525"/>
      <c r="EK2" s="525"/>
      <c r="EL2" s="525"/>
      <c r="EM2" s="525"/>
      <c r="EN2" s="525"/>
      <c r="EO2" s="525"/>
      <c r="EP2" s="525"/>
      <c r="EQ2" s="525"/>
      <c r="ER2" s="525"/>
      <c r="ES2" s="525"/>
      <c r="ET2" s="525"/>
      <c r="EU2" s="525"/>
      <c r="EV2" s="525"/>
      <c r="EW2" s="525"/>
      <c r="EX2" s="525"/>
      <c r="EY2" s="525"/>
      <c r="EZ2" s="525"/>
      <c r="FA2" s="525"/>
      <c r="FB2" s="525"/>
      <c r="FC2" s="525"/>
      <c r="FD2" s="525"/>
      <c r="FE2" s="525"/>
      <c r="FF2" s="525"/>
      <c r="FG2" s="525"/>
      <c r="FH2" s="525"/>
      <c r="FI2" s="525"/>
      <c r="FJ2" s="525"/>
      <c r="FK2" s="525"/>
      <c r="FL2" s="525"/>
      <c r="FM2" s="525"/>
      <c r="FN2" s="525"/>
      <c r="FO2" s="525"/>
      <c r="FP2" s="525"/>
      <c r="FQ2" s="525"/>
      <c r="FR2" s="525"/>
      <c r="FS2" s="525"/>
      <c r="FT2" s="525"/>
      <c r="FU2" s="525"/>
      <c r="FV2" s="525"/>
      <c r="FW2" s="525"/>
      <c r="FX2" s="525"/>
      <c r="FY2" s="525"/>
      <c r="FZ2" s="525"/>
      <c r="GA2" s="525"/>
      <c r="GB2" s="525"/>
      <c r="GC2" s="525"/>
      <c r="GD2" s="525"/>
      <c r="GE2" s="525"/>
      <c r="GF2" s="525"/>
      <c r="GG2" s="525"/>
      <c r="GH2" s="525"/>
      <c r="GI2" s="525"/>
      <c r="GJ2" s="525"/>
      <c r="GK2" s="525"/>
      <c r="GL2" s="525"/>
      <c r="GM2" s="525"/>
      <c r="GN2" s="525"/>
      <c r="GO2" s="525"/>
      <c r="GP2" s="525"/>
      <c r="GQ2" s="525"/>
      <c r="GR2" s="525"/>
      <c r="GS2" s="525"/>
      <c r="GT2" s="525"/>
      <c r="GU2" s="525"/>
      <c r="GV2" s="525"/>
      <c r="GW2" s="525"/>
      <c r="GX2" s="525"/>
      <c r="GY2" s="525"/>
      <c r="GZ2" s="525"/>
      <c r="HA2" s="525"/>
      <c r="HB2" s="525"/>
      <c r="HC2" s="525"/>
      <c r="HD2" s="525"/>
      <c r="HE2" s="525"/>
      <c r="HF2" s="525"/>
      <c r="HG2" s="525"/>
      <c r="HH2" s="525"/>
      <c r="HI2" s="525"/>
      <c r="HJ2" s="525"/>
      <c r="HK2" s="525"/>
      <c r="HL2" s="525"/>
      <c r="HM2" s="525"/>
      <c r="HN2" s="525"/>
      <c r="HO2" s="525"/>
      <c r="HP2" s="525"/>
      <c r="HQ2" s="525"/>
      <c r="HR2" s="525"/>
      <c r="HS2" s="525"/>
      <c r="HT2" s="525"/>
      <c r="HU2" s="525"/>
      <c r="HV2" s="525"/>
      <c r="HW2" s="525"/>
      <c r="HX2" s="525"/>
      <c r="HY2" s="525"/>
      <c r="HZ2" s="525"/>
      <c r="IA2" s="525"/>
      <c r="IB2" s="525"/>
      <c r="IC2" s="525"/>
      <c r="ID2" s="525"/>
      <c r="IE2" s="525"/>
      <c r="IF2" s="525"/>
      <c r="IG2" s="525"/>
      <c r="IH2" s="525"/>
      <c r="II2" s="525"/>
      <c r="IJ2" s="525"/>
      <c r="IK2" s="525"/>
      <c r="IL2" s="525"/>
      <c r="IM2" s="525"/>
      <c r="IN2" s="525"/>
      <c r="IO2" s="525"/>
      <c r="IP2" s="525"/>
      <c r="IQ2" s="525"/>
      <c r="IR2" s="525"/>
      <c r="IS2" s="525"/>
      <c r="IT2" s="525"/>
      <c r="IU2" s="525"/>
      <c r="IV2" s="525"/>
      <c r="IW2" s="525"/>
      <c r="IX2" s="525"/>
      <c r="IY2" s="525"/>
      <c r="IZ2" s="525"/>
      <c r="JA2" s="525"/>
      <c r="JB2" s="525"/>
      <c r="JC2" s="525"/>
      <c r="JD2" s="525"/>
      <c r="JE2" s="525"/>
      <c r="JF2" s="525"/>
      <c r="JG2" s="525"/>
      <c r="JH2" s="525"/>
      <c r="JI2" s="525"/>
      <c r="JJ2" s="525"/>
      <c r="JK2" s="525"/>
      <c r="JL2" s="525"/>
      <c r="JM2" s="525"/>
      <c r="JN2" s="525"/>
      <c r="JO2" s="525"/>
      <c r="JP2" s="525"/>
      <c r="JQ2" s="525"/>
      <c r="JR2" s="525"/>
      <c r="JS2" s="525"/>
      <c r="JT2" s="525"/>
      <c r="JU2" s="525"/>
      <c r="JV2" s="525"/>
      <c r="JW2" s="525"/>
      <c r="JX2" s="525"/>
      <c r="JY2" s="525"/>
      <c r="JZ2" s="525"/>
      <c r="KA2" s="525"/>
      <c r="KB2" s="525"/>
      <c r="KC2" s="525"/>
      <c r="KD2" s="525"/>
      <c r="KE2" s="525"/>
      <c r="KF2" s="525"/>
      <c r="KG2" s="525"/>
      <c r="KH2" s="525"/>
      <c r="KI2" s="525"/>
      <c r="KJ2" s="525"/>
      <c r="KK2" s="525"/>
      <c r="KL2" s="525"/>
      <c r="KM2" s="525"/>
      <c r="KN2" s="525"/>
      <c r="KO2" s="525"/>
      <c r="KP2" s="525"/>
      <c r="KQ2" s="525"/>
      <c r="KR2" s="525"/>
      <c r="KS2" s="525"/>
      <c r="KT2" s="525"/>
      <c r="KU2" s="525"/>
      <c r="KV2" s="525"/>
      <c r="KW2" s="525"/>
      <c r="KX2" s="525"/>
      <c r="KY2" s="525"/>
      <c r="KZ2" s="525"/>
      <c r="LA2" s="525"/>
      <c r="LB2" s="525"/>
      <c r="LC2" s="525"/>
      <c r="LD2" s="525"/>
      <c r="LE2" s="525"/>
      <c r="LF2" s="525"/>
      <c r="LG2" s="525"/>
      <c r="LH2" s="525"/>
      <c r="LI2" s="525"/>
      <c r="LJ2" s="525"/>
      <c r="LK2" s="525"/>
      <c r="LL2" s="525"/>
      <c r="LM2" s="525"/>
      <c r="LN2" s="525"/>
      <c r="LO2" s="525"/>
      <c r="LP2" s="525"/>
      <c r="LQ2" s="525"/>
      <c r="LR2" s="525"/>
      <c r="LS2" s="525"/>
      <c r="LT2" s="525"/>
      <c r="LU2" s="525"/>
      <c r="LV2" s="525"/>
      <c r="LW2" s="525"/>
      <c r="LX2" s="525"/>
      <c r="LY2" s="525"/>
      <c r="LZ2" s="525"/>
      <c r="MA2" s="525"/>
      <c r="MB2" s="525"/>
      <c r="MC2" s="525"/>
      <c r="MD2" s="525"/>
      <c r="ME2" s="525"/>
      <c r="MF2" s="525"/>
      <c r="MG2" s="525"/>
      <c r="MH2" s="525"/>
      <c r="MI2" s="525"/>
      <c r="MJ2" s="525"/>
      <c r="MK2" s="525"/>
      <c r="ML2" s="525"/>
      <c r="MM2" s="525"/>
      <c r="MN2" s="525"/>
      <c r="MO2" s="525"/>
      <c r="MP2" s="525"/>
      <c r="MQ2" s="525"/>
      <c r="MR2" s="525"/>
      <c r="MS2" s="525"/>
      <c r="MT2" s="525"/>
      <c r="MU2" s="525"/>
      <c r="MV2" s="525"/>
      <c r="MW2" s="525"/>
      <c r="MX2" s="525"/>
      <c r="MY2" s="525"/>
      <c r="MZ2" s="525"/>
      <c r="NA2" s="525"/>
      <c r="NB2" s="525"/>
      <c r="NC2" s="525"/>
      <c r="ND2" s="525"/>
      <c r="NE2" s="525"/>
      <c r="NF2" s="525"/>
      <c r="NG2" s="525"/>
      <c r="NH2" s="525"/>
      <c r="NI2" s="525"/>
      <c r="NJ2" s="525"/>
      <c r="NK2" s="525"/>
      <c r="NL2" s="525"/>
      <c r="NM2" s="525"/>
      <c r="NN2" s="525"/>
      <c r="NO2" s="525"/>
      <c r="NP2" s="525"/>
      <c r="NQ2" s="525"/>
      <c r="NR2" s="525"/>
      <c r="NS2" s="525"/>
      <c r="NT2" s="525"/>
      <c r="NU2" s="525"/>
      <c r="NV2" s="525"/>
      <c r="NW2" s="525"/>
      <c r="NX2" s="525"/>
      <c r="NY2" s="525"/>
      <c r="NZ2" s="525"/>
      <c r="OA2" s="525"/>
      <c r="OB2" s="525"/>
      <c r="OC2" s="525"/>
      <c r="OD2" s="525"/>
      <c r="OE2" s="525"/>
      <c r="OF2" s="525"/>
      <c r="OG2" s="525"/>
      <c r="OH2" s="525"/>
      <c r="OI2" s="525"/>
      <c r="OJ2" s="525"/>
      <c r="OK2" s="525"/>
      <c r="OL2" s="525"/>
      <c r="OM2" s="525"/>
      <c r="ON2" s="525"/>
      <c r="OO2" s="525"/>
      <c r="OP2" s="525"/>
      <c r="OQ2" s="525"/>
      <c r="OR2" s="525"/>
      <c r="OS2" s="525"/>
      <c r="OT2" s="525"/>
      <c r="OU2" s="525"/>
      <c r="OV2" s="525"/>
      <c r="OW2" s="525"/>
      <c r="OX2" s="525"/>
      <c r="OY2" s="525"/>
      <c r="OZ2" s="525"/>
      <c r="PA2" s="525"/>
      <c r="PB2" s="525"/>
      <c r="PC2" s="525"/>
      <c r="PD2" s="525"/>
      <c r="PE2" s="525"/>
      <c r="PF2" s="525"/>
      <c r="PG2" s="525"/>
      <c r="PH2" s="525"/>
      <c r="PI2" s="525"/>
      <c r="PJ2" s="525"/>
      <c r="PK2" s="525"/>
      <c r="PL2" s="525"/>
      <c r="PM2" s="525"/>
      <c r="PN2" s="525"/>
      <c r="PO2" s="525"/>
      <c r="PP2" s="525"/>
      <c r="PQ2" s="525"/>
      <c r="PR2" s="525"/>
      <c r="PS2" s="525"/>
      <c r="PT2" s="525"/>
      <c r="PU2" s="525"/>
      <c r="PV2" s="525"/>
      <c r="PW2" s="525"/>
      <c r="PX2" s="525"/>
      <c r="PY2" s="525"/>
      <c r="PZ2" s="525"/>
      <c r="QA2" s="525"/>
      <c r="QB2" s="525"/>
      <c r="QC2" s="525"/>
      <c r="QD2" s="525"/>
      <c r="QE2" s="525"/>
      <c r="QF2" s="525"/>
      <c r="QG2" s="525"/>
      <c r="QH2" s="525"/>
      <c r="QI2" s="525"/>
      <c r="QJ2" s="525"/>
      <c r="QK2" s="525"/>
      <c r="QL2" s="525"/>
      <c r="QM2" s="525"/>
      <c r="QN2" s="525"/>
      <c r="QO2" s="525"/>
      <c r="QP2" s="525"/>
      <c r="QQ2" s="525"/>
      <c r="QR2" s="525"/>
      <c r="QS2" s="525"/>
      <c r="QT2" s="525"/>
      <c r="QU2" s="525"/>
      <c r="QV2" s="525"/>
      <c r="QW2" s="525"/>
      <c r="QX2" s="525"/>
      <c r="QY2" s="525"/>
      <c r="QZ2" s="525"/>
      <c r="RA2" s="525"/>
      <c r="RB2" s="525"/>
      <c r="RC2" s="525"/>
      <c r="RD2" s="525"/>
      <c r="RE2" s="525"/>
      <c r="RF2" s="525"/>
      <c r="RG2" s="525"/>
      <c r="RH2" s="525"/>
      <c r="RI2" s="525"/>
      <c r="RJ2" s="525"/>
      <c r="RK2" s="525"/>
      <c r="RL2" s="525"/>
      <c r="RM2" s="525"/>
      <c r="RN2" s="525"/>
      <c r="RO2" s="525"/>
      <c r="RP2" s="525"/>
      <c r="RQ2" s="525"/>
      <c r="RR2" s="525"/>
      <c r="RS2" s="525"/>
      <c r="RT2" s="525"/>
      <c r="RU2" s="525"/>
      <c r="RV2" s="525"/>
      <c r="RW2" s="525"/>
      <c r="RX2" s="525"/>
      <c r="RY2" s="525"/>
      <c r="RZ2" s="525"/>
      <c r="SA2" s="525"/>
      <c r="SB2" s="525"/>
      <c r="SC2" s="525"/>
      <c r="SD2" s="525"/>
      <c r="SE2" s="525"/>
      <c r="SF2" s="525"/>
      <c r="SG2" s="525"/>
      <c r="SH2" s="525"/>
      <c r="SI2" s="525"/>
      <c r="SJ2" s="525"/>
      <c r="SK2" s="525"/>
      <c r="SL2" s="525"/>
      <c r="SM2" s="525"/>
      <c r="SN2" s="525"/>
      <c r="SO2" s="525"/>
      <c r="SP2" s="525"/>
      <c r="SQ2" s="525"/>
      <c r="SR2" s="525"/>
      <c r="SS2" s="525"/>
      <c r="ST2" s="525"/>
      <c r="SU2" s="525"/>
      <c r="SV2" s="525"/>
      <c r="SW2" s="525"/>
      <c r="SX2" s="525"/>
      <c r="SY2" s="525"/>
      <c r="SZ2" s="525"/>
      <c r="TA2" s="525"/>
      <c r="TB2" s="525"/>
      <c r="TC2" s="525"/>
      <c r="TD2" s="525"/>
      <c r="TE2" s="525"/>
      <c r="TF2" s="525"/>
      <c r="TG2" s="525"/>
      <c r="TH2" s="525"/>
      <c r="TI2" s="525"/>
      <c r="TJ2" s="525"/>
      <c r="TK2" s="525"/>
      <c r="TL2" s="525"/>
      <c r="TM2" s="525"/>
      <c r="TN2" s="525"/>
      <c r="TO2" s="525"/>
      <c r="TP2" s="525"/>
      <c r="TQ2" s="525"/>
      <c r="TR2" s="525"/>
      <c r="TS2" s="525"/>
      <c r="TT2" s="525"/>
      <c r="TU2" s="525"/>
      <c r="TV2" s="525"/>
      <c r="TW2" s="525"/>
      <c r="TX2" s="525"/>
      <c r="TY2" s="525"/>
      <c r="TZ2" s="525"/>
      <c r="UA2" s="525"/>
      <c r="UB2" s="525"/>
      <c r="UC2" s="525"/>
      <c r="UD2" s="525"/>
      <c r="UE2" s="525"/>
      <c r="UF2" s="525"/>
      <c r="UG2" s="525"/>
      <c r="UH2" s="525"/>
      <c r="UI2" s="525"/>
      <c r="UJ2" s="525"/>
      <c r="UK2" s="525"/>
      <c r="UL2" s="525"/>
      <c r="UM2" s="525"/>
      <c r="UN2" s="525"/>
      <c r="UO2" s="525"/>
      <c r="UP2" s="525"/>
      <c r="UQ2" s="525"/>
      <c r="UR2" s="525"/>
      <c r="US2" s="525"/>
      <c r="UT2" s="525"/>
      <c r="UU2" s="525"/>
      <c r="UV2" s="525"/>
      <c r="UW2" s="525"/>
      <c r="UX2" s="525"/>
      <c r="UY2" s="525"/>
      <c r="UZ2" s="525"/>
      <c r="VA2" s="525"/>
      <c r="VB2" s="525"/>
      <c r="VC2" s="525"/>
      <c r="VD2" s="525"/>
      <c r="VE2" s="525"/>
      <c r="VF2" s="525"/>
      <c r="VG2" s="525"/>
      <c r="VH2" s="525"/>
      <c r="VI2" s="525"/>
      <c r="VJ2" s="525"/>
      <c r="VK2" s="525"/>
      <c r="VL2" s="525"/>
      <c r="VM2" s="525"/>
      <c r="VN2" s="525"/>
      <c r="VO2" s="525"/>
      <c r="VP2" s="525"/>
      <c r="VQ2" s="525"/>
      <c r="VR2" s="525"/>
      <c r="VS2" s="525"/>
      <c r="VT2" s="525"/>
      <c r="VU2" s="525"/>
      <c r="VV2" s="525"/>
      <c r="VW2" s="525"/>
      <c r="VX2" s="525"/>
      <c r="VY2" s="525"/>
      <c r="VZ2" s="525"/>
      <c r="WA2" s="525"/>
      <c r="WB2" s="525"/>
      <c r="WC2" s="525"/>
      <c r="WD2" s="525"/>
      <c r="WE2" s="525"/>
      <c r="WF2" s="525"/>
      <c r="WG2" s="525"/>
      <c r="WH2" s="525"/>
      <c r="WI2" s="525"/>
      <c r="WJ2" s="525"/>
      <c r="WK2" s="525"/>
      <c r="WL2" s="525"/>
      <c r="WM2" s="525"/>
      <c r="WN2" s="525"/>
      <c r="WO2" s="525"/>
      <c r="WP2" s="525"/>
      <c r="WQ2" s="525"/>
      <c r="WR2" s="525"/>
      <c r="WS2" s="525"/>
      <c r="WT2" s="525"/>
      <c r="WU2" s="525"/>
      <c r="WV2" s="525"/>
      <c r="WW2" s="525"/>
      <c r="WX2" s="525"/>
      <c r="WY2" s="525"/>
      <c r="WZ2" s="525"/>
      <c r="XA2" s="525"/>
      <c r="XB2" s="525"/>
      <c r="XC2" s="525"/>
      <c r="XD2" s="525"/>
      <c r="XE2" s="525"/>
      <c r="XF2" s="525"/>
      <c r="XG2" s="525"/>
      <c r="XH2" s="525"/>
      <c r="XI2" s="525"/>
      <c r="XJ2" s="525"/>
      <c r="XK2" s="525"/>
      <c r="XL2" s="525"/>
      <c r="XM2" s="525"/>
      <c r="XN2" s="525"/>
      <c r="XO2" s="525"/>
      <c r="XP2" s="525"/>
      <c r="XQ2" s="525"/>
      <c r="XR2" s="525"/>
      <c r="XS2" s="525"/>
      <c r="XT2" s="525"/>
      <c r="XU2" s="525"/>
      <c r="XV2" s="525"/>
      <c r="XW2" s="525"/>
      <c r="XX2" s="525"/>
      <c r="XY2" s="525"/>
      <c r="XZ2" s="525"/>
      <c r="YA2" s="525"/>
      <c r="YB2" s="525"/>
      <c r="YC2" s="525"/>
      <c r="YD2" s="525"/>
      <c r="YE2" s="525"/>
      <c r="YF2" s="525"/>
      <c r="YG2" s="525"/>
      <c r="YH2" s="525"/>
      <c r="YI2" s="525"/>
      <c r="YJ2" s="525"/>
      <c r="YK2" s="525"/>
      <c r="YL2" s="525"/>
      <c r="YM2" s="525"/>
      <c r="YN2" s="525"/>
      <c r="YO2" s="525"/>
      <c r="YP2" s="525"/>
      <c r="YQ2" s="525"/>
      <c r="YR2" s="525"/>
      <c r="YS2" s="525"/>
      <c r="YT2" s="525"/>
      <c r="YU2" s="525"/>
      <c r="YV2" s="525"/>
      <c r="YW2" s="525"/>
      <c r="YX2" s="525"/>
      <c r="YY2" s="525"/>
      <c r="YZ2" s="525"/>
      <c r="ZA2" s="525"/>
      <c r="ZB2" s="525"/>
      <c r="ZC2" s="525"/>
      <c r="ZD2" s="525"/>
      <c r="ZE2" s="525"/>
      <c r="ZF2" s="525"/>
    </row>
    <row r="3" spans="1:682" s="442" customFormat="1" ht="15" thickBot="1" x14ac:dyDescent="0.35">
      <c r="A3" s="526"/>
      <c r="B3" s="526"/>
      <c r="C3" s="526"/>
      <c r="D3" s="526"/>
      <c r="E3" s="526"/>
      <c r="F3" s="526"/>
      <c r="G3" s="574"/>
      <c r="H3" s="574"/>
      <c r="I3" s="574"/>
      <c r="J3" s="574"/>
      <c r="K3" s="574"/>
      <c r="L3" s="526"/>
      <c r="M3" s="526"/>
      <c r="N3" s="526"/>
      <c r="O3" s="526"/>
      <c r="P3" s="526"/>
      <c r="Q3" s="526"/>
      <c r="R3" s="526"/>
      <c r="S3" s="526"/>
      <c r="T3" s="526"/>
      <c r="U3" s="526"/>
      <c r="V3" s="526"/>
      <c r="W3" s="526"/>
      <c r="X3" s="526"/>
      <c r="Y3" s="526"/>
      <c r="Z3" s="526"/>
      <c r="AA3" s="526"/>
      <c r="AB3" s="526"/>
      <c r="AC3" s="526"/>
      <c r="AD3" s="526"/>
      <c r="AE3" s="526"/>
      <c r="AF3" s="526"/>
      <c r="AG3" s="526"/>
      <c r="AH3" s="526"/>
      <c r="AI3" s="526"/>
      <c r="AJ3" s="526"/>
      <c r="AK3" s="526"/>
      <c r="AL3" s="526"/>
      <c r="AM3" s="526"/>
      <c r="AN3" s="526"/>
      <c r="AO3" s="526"/>
      <c r="AP3" s="526"/>
      <c r="AQ3" s="526"/>
      <c r="AR3" s="526"/>
      <c r="AS3" s="526"/>
      <c r="AT3" s="526"/>
      <c r="AU3" s="526"/>
      <c r="AV3" s="526"/>
      <c r="AW3" s="526"/>
      <c r="AX3" s="526"/>
      <c r="AY3" s="526"/>
      <c r="AZ3" s="526"/>
      <c r="BA3" s="526"/>
      <c r="BB3" s="526"/>
      <c r="BC3" s="526"/>
      <c r="BD3" s="526"/>
      <c r="BE3" s="526"/>
      <c r="BF3" s="526"/>
      <c r="BG3" s="526"/>
      <c r="BH3" s="526"/>
      <c r="BI3" s="526"/>
      <c r="BJ3" s="526"/>
      <c r="BK3" s="526"/>
      <c r="BL3" s="526"/>
      <c r="BM3" s="526"/>
      <c r="BN3" s="526"/>
      <c r="BO3" s="526"/>
      <c r="BP3" s="526"/>
      <c r="BQ3" s="526"/>
      <c r="BR3" s="526"/>
      <c r="BS3" s="526"/>
      <c r="BT3" s="526"/>
      <c r="BU3" s="526"/>
      <c r="BV3" s="526"/>
      <c r="BW3" s="526"/>
      <c r="BX3" s="526"/>
      <c r="BY3" s="526"/>
      <c r="BZ3" s="526"/>
      <c r="CA3" s="526"/>
      <c r="CB3" s="526"/>
      <c r="CC3" s="526"/>
      <c r="CD3" s="526"/>
      <c r="CE3" s="526"/>
      <c r="CF3" s="526"/>
      <c r="CG3" s="526"/>
      <c r="CH3" s="526"/>
      <c r="CI3" s="526"/>
      <c r="CJ3" s="526"/>
      <c r="CK3" s="526"/>
      <c r="CL3" s="526"/>
      <c r="CM3" s="526"/>
      <c r="CN3" s="526"/>
      <c r="CO3" s="526"/>
      <c r="CP3" s="526"/>
      <c r="CQ3" s="526"/>
      <c r="CR3" s="526"/>
      <c r="CS3" s="526"/>
      <c r="CT3" s="526"/>
      <c r="CU3" s="526"/>
      <c r="CV3" s="526"/>
      <c r="CW3" s="526"/>
      <c r="CX3" s="526"/>
      <c r="CY3" s="526"/>
      <c r="CZ3" s="526"/>
      <c r="DA3" s="526"/>
      <c r="DB3" s="526"/>
      <c r="DC3" s="526"/>
      <c r="DD3" s="526"/>
      <c r="DE3" s="526"/>
      <c r="DF3" s="526"/>
      <c r="DG3" s="526"/>
      <c r="DH3" s="526"/>
      <c r="DI3" s="526"/>
      <c r="DJ3" s="526"/>
      <c r="DK3" s="526"/>
      <c r="DL3" s="526"/>
      <c r="DM3" s="526"/>
      <c r="DN3" s="526"/>
      <c r="DO3" s="526"/>
      <c r="DP3" s="526"/>
      <c r="DQ3" s="526"/>
      <c r="DR3" s="526"/>
      <c r="DS3" s="526"/>
      <c r="DT3" s="526"/>
      <c r="DU3" s="526"/>
      <c r="DV3" s="526"/>
      <c r="DW3" s="526"/>
      <c r="DX3" s="526"/>
      <c r="DY3" s="526"/>
      <c r="DZ3" s="526"/>
      <c r="EA3" s="526"/>
      <c r="EB3" s="526"/>
      <c r="EC3" s="526"/>
      <c r="ED3" s="526"/>
      <c r="EE3" s="526"/>
      <c r="EF3" s="526"/>
      <c r="EG3" s="526"/>
      <c r="EH3" s="526"/>
      <c r="EI3" s="526"/>
      <c r="EJ3" s="526"/>
      <c r="EK3" s="526"/>
      <c r="EL3" s="526"/>
      <c r="EM3" s="526"/>
      <c r="EN3" s="526"/>
      <c r="EO3" s="526"/>
      <c r="EP3" s="526"/>
      <c r="EQ3" s="526"/>
      <c r="ER3" s="526"/>
      <c r="ES3" s="526"/>
      <c r="ET3" s="526"/>
      <c r="EU3" s="526"/>
      <c r="EV3" s="526"/>
      <c r="EW3" s="526"/>
      <c r="EX3" s="526"/>
      <c r="EY3" s="526"/>
      <c r="EZ3" s="526"/>
      <c r="FA3" s="526"/>
      <c r="FB3" s="526"/>
      <c r="FC3" s="526"/>
      <c r="FD3" s="526"/>
      <c r="FE3" s="526"/>
      <c r="FF3" s="526"/>
      <c r="FG3" s="526"/>
      <c r="FH3" s="526"/>
      <c r="FI3" s="526"/>
      <c r="FJ3" s="526"/>
      <c r="FK3" s="526"/>
      <c r="FL3" s="526"/>
      <c r="FM3" s="526"/>
      <c r="FN3" s="526"/>
      <c r="FO3" s="526"/>
      <c r="FP3" s="526"/>
      <c r="FQ3" s="526"/>
      <c r="FR3" s="526"/>
      <c r="FS3" s="526"/>
      <c r="FT3" s="526"/>
      <c r="FU3" s="526"/>
      <c r="FV3" s="526"/>
      <c r="FW3" s="526"/>
      <c r="FX3" s="526"/>
      <c r="FY3" s="526"/>
      <c r="FZ3" s="526"/>
      <c r="GA3" s="526"/>
      <c r="GB3" s="526"/>
      <c r="GC3" s="526"/>
      <c r="GD3" s="526"/>
      <c r="GE3" s="526"/>
      <c r="GF3" s="526"/>
      <c r="GG3" s="526"/>
      <c r="GH3" s="526"/>
      <c r="GI3" s="526"/>
      <c r="GJ3" s="526"/>
      <c r="GK3" s="526"/>
      <c r="GL3" s="526"/>
      <c r="GM3" s="526"/>
      <c r="GN3" s="526"/>
      <c r="GO3" s="526"/>
      <c r="GP3" s="526"/>
      <c r="GQ3" s="526"/>
      <c r="GR3" s="526"/>
      <c r="GS3" s="526"/>
      <c r="GT3" s="526"/>
      <c r="GU3" s="526"/>
      <c r="GV3" s="526"/>
      <c r="GW3" s="526"/>
      <c r="GX3" s="526"/>
      <c r="GY3" s="526"/>
      <c r="GZ3" s="526"/>
      <c r="HA3" s="526"/>
      <c r="HB3" s="526"/>
      <c r="HC3" s="526"/>
      <c r="HD3" s="526"/>
      <c r="HE3" s="526"/>
      <c r="HF3" s="526"/>
      <c r="HG3" s="526"/>
      <c r="HH3" s="526"/>
      <c r="HI3" s="526"/>
      <c r="HJ3" s="526"/>
      <c r="HK3" s="526"/>
      <c r="HL3" s="526"/>
      <c r="HM3" s="526"/>
      <c r="HN3" s="526"/>
      <c r="HO3" s="526"/>
      <c r="HP3" s="526"/>
      <c r="HQ3" s="526"/>
      <c r="HR3" s="526"/>
      <c r="HS3" s="526"/>
      <c r="HT3" s="526"/>
      <c r="HU3" s="526"/>
      <c r="HV3" s="526"/>
      <c r="HW3" s="526"/>
      <c r="HX3" s="526"/>
      <c r="HY3" s="526"/>
      <c r="HZ3" s="526"/>
      <c r="IA3" s="526"/>
      <c r="IB3" s="526"/>
      <c r="IC3" s="526"/>
      <c r="ID3" s="526"/>
      <c r="IE3" s="526"/>
      <c r="IF3" s="526"/>
      <c r="IG3" s="526"/>
      <c r="IH3" s="526"/>
      <c r="II3" s="526"/>
      <c r="IJ3" s="526"/>
      <c r="IK3" s="526"/>
      <c r="IL3" s="526"/>
      <c r="IM3" s="526"/>
      <c r="IN3" s="526"/>
      <c r="IO3" s="526"/>
      <c r="IP3" s="526"/>
      <c r="IQ3" s="526"/>
      <c r="IR3" s="526"/>
      <c r="IS3" s="526"/>
      <c r="IT3" s="526"/>
      <c r="IU3" s="526"/>
      <c r="IV3" s="526"/>
      <c r="IW3" s="526"/>
      <c r="IX3" s="526"/>
      <c r="IY3" s="526"/>
      <c r="IZ3" s="526"/>
      <c r="JA3" s="526"/>
      <c r="JB3" s="526"/>
      <c r="JC3" s="526"/>
      <c r="JD3" s="526"/>
      <c r="JE3" s="526"/>
      <c r="JF3" s="526"/>
      <c r="JG3" s="526"/>
      <c r="JH3" s="526"/>
      <c r="JI3" s="526"/>
      <c r="JJ3" s="526"/>
      <c r="JK3" s="526"/>
      <c r="JL3" s="526"/>
      <c r="JM3" s="526"/>
      <c r="JN3" s="526"/>
      <c r="JO3" s="526"/>
      <c r="JP3" s="526"/>
      <c r="JQ3" s="526"/>
      <c r="JR3" s="526"/>
      <c r="JS3" s="526"/>
      <c r="JT3" s="526"/>
      <c r="JU3" s="526"/>
      <c r="JV3" s="526"/>
      <c r="JW3" s="526"/>
      <c r="JX3" s="526"/>
      <c r="JY3" s="526"/>
      <c r="JZ3" s="526"/>
      <c r="KA3" s="526"/>
      <c r="KB3" s="526"/>
      <c r="KC3" s="526"/>
      <c r="KD3" s="526"/>
      <c r="KE3" s="526"/>
      <c r="KF3" s="526"/>
      <c r="KG3" s="526"/>
      <c r="KH3" s="526"/>
      <c r="KI3" s="526"/>
      <c r="KJ3" s="526"/>
      <c r="KK3" s="526"/>
      <c r="KL3" s="526"/>
      <c r="KM3" s="526"/>
      <c r="KN3" s="526"/>
      <c r="KO3" s="526"/>
      <c r="KP3" s="526"/>
      <c r="KQ3" s="526"/>
      <c r="KR3" s="526"/>
      <c r="KS3" s="526"/>
      <c r="KT3" s="526"/>
      <c r="KU3" s="526"/>
      <c r="KV3" s="526"/>
      <c r="KW3" s="526"/>
      <c r="KX3" s="526"/>
      <c r="KY3" s="526"/>
      <c r="KZ3" s="526"/>
      <c r="LA3" s="526"/>
      <c r="LB3" s="526"/>
      <c r="LC3" s="526"/>
      <c r="LD3" s="526"/>
      <c r="LE3" s="526"/>
      <c r="LF3" s="526"/>
      <c r="LG3" s="526"/>
      <c r="LH3" s="526"/>
      <c r="LI3" s="526"/>
      <c r="LJ3" s="526"/>
      <c r="LK3" s="526"/>
      <c r="LL3" s="526"/>
      <c r="LM3" s="526"/>
      <c r="LN3" s="526"/>
      <c r="LO3" s="526"/>
      <c r="LP3" s="526"/>
      <c r="LQ3" s="526"/>
      <c r="LR3" s="526"/>
      <c r="LS3" s="526"/>
      <c r="LT3" s="526"/>
      <c r="LU3" s="526"/>
      <c r="LV3" s="526"/>
      <c r="LW3" s="526"/>
      <c r="LX3" s="526"/>
      <c r="LY3" s="526"/>
      <c r="LZ3" s="526"/>
      <c r="MA3" s="526"/>
      <c r="MB3" s="526"/>
      <c r="MC3" s="526"/>
      <c r="MD3" s="526"/>
      <c r="ME3" s="526"/>
      <c r="MF3" s="526"/>
      <c r="MG3" s="526"/>
      <c r="MH3" s="526"/>
      <c r="MI3" s="526"/>
      <c r="MJ3" s="526"/>
      <c r="MK3" s="526"/>
      <c r="ML3" s="526"/>
      <c r="MM3" s="526"/>
      <c r="MN3" s="526"/>
      <c r="MO3" s="526"/>
      <c r="MP3" s="526"/>
      <c r="MQ3" s="526"/>
      <c r="MR3" s="526"/>
      <c r="MS3" s="526"/>
      <c r="MT3" s="526"/>
      <c r="MU3" s="526"/>
      <c r="MV3" s="526"/>
      <c r="MW3" s="526"/>
      <c r="MX3" s="526"/>
      <c r="MY3" s="526"/>
      <c r="MZ3" s="526"/>
      <c r="NA3" s="526"/>
      <c r="NB3" s="526"/>
      <c r="NC3" s="526"/>
      <c r="ND3" s="526"/>
      <c r="NE3" s="526"/>
      <c r="NF3" s="526"/>
      <c r="NG3" s="526"/>
      <c r="NH3" s="526"/>
      <c r="NI3" s="526"/>
      <c r="NJ3" s="526"/>
      <c r="NK3" s="526"/>
      <c r="NL3" s="526"/>
      <c r="NM3" s="526"/>
      <c r="NN3" s="526"/>
      <c r="NO3" s="526"/>
      <c r="NP3" s="526"/>
      <c r="NQ3" s="526"/>
      <c r="NR3" s="526"/>
      <c r="NS3" s="526"/>
      <c r="NT3" s="526"/>
      <c r="NU3" s="526"/>
      <c r="NV3" s="526"/>
      <c r="NW3" s="526"/>
      <c r="NX3" s="526"/>
      <c r="NY3" s="526"/>
      <c r="NZ3" s="526"/>
      <c r="OA3" s="526"/>
      <c r="OB3" s="526"/>
      <c r="OC3" s="526"/>
      <c r="OD3" s="526"/>
      <c r="OE3" s="526"/>
      <c r="OF3" s="526"/>
      <c r="OG3" s="526"/>
      <c r="OH3" s="526"/>
      <c r="OI3" s="526"/>
      <c r="OJ3" s="526"/>
      <c r="OK3" s="526"/>
      <c r="OL3" s="526"/>
      <c r="OM3" s="526"/>
      <c r="ON3" s="526"/>
      <c r="OO3" s="526"/>
      <c r="OP3" s="526"/>
      <c r="OQ3" s="526"/>
      <c r="OR3" s="526"/>
      <c r="OS3" s="526"/>
      <c r="OT3" s="526"/>
      <c r="OU3" s="526"/>
      <c r="OV3" s="526"/>
      <c r="OW3" s="526"/>
      <c r="OX3" s="526"/>
      <c r="OY3" s="526"/>
      <c r="OZ3" s="526"/>
      <c r="PA3" s="526"/>
      <c r="PB3" s="526"/>
      <c r="PC3" s="526"/>
      <c r="PD3" s="526"/>
      <c r="PE3" s="526"/>
      <c r="PF3" s="526"/>
      <c r="PG3" s="526"/>
      <c r="PH3" s="526"/>
      <c r="PI3" s="526"/>
      <c r="PJ3" s="526"/>
      <c r="PK3" s="526"/>
      <c r="PL3" s="526"/>
      <c r="PM3" s="526"/>
      <c r="PN3" s="526"/>
      <c r="PO3" s="526"/>
      <c r="PP3" s="526"/>
      <c r="PQ3" s="526"/>
      <c r="PR3" s="526"/>
      <c r="PS3" s="526"/>
      <c r="PT3" s="526"/>
      <c r="PU3" s="526"/>
      <c r="PV3" s="526"/>
      <c r="PW3" s="526"/>
      <c r="PX3" s="526"/>
      <c r="PY3" s="526"/>
      <c r="PZ3" s="526"/>
      <c r="QA3" s="526"/>
      <c r="QB3" s="526"/>
      <c r="QC3" s="526"/>
      <c r="QD3" s="526"/>
      <c r="QE3" s="526"/>
      <c r="QF3" s="526"/>
      <c r="QG3" s="526"/>
      <c r="QH3" s="526"/>
      <c r="QI3" s="526"/>
      <c r="QJ3" s="526"/>
      <c r="QK3" s="526"/>
      <c r="QL3" s="526"/>
      <c r="QM3" s="526"/>
      <c r="QN3" s="526"/>
      <c r="QO3" s="526"/>
      <c r="QP3" s="526"/>
      <c r="QQ3" s="526"/>
      <c r="QR3" s="526"/>
      <c r="QS3" s="526"/>
      <c r="QT3" s="526"/>
      <c r="QU3" s="526"/>
      <c r="QV3" s="526"/>
      <c r="QW3" s="526"/>
      <c r="QX3" s="526"/>
      <c r="QY3" s="526"/>
      <c r="QZ3" s="526"/>
      <c r="RA3" s="526"/>
      <c r="RB3" s="526"/>
      <c r="RC3" s="526"/>
      <c r="RD3" s="526"/>
      <c r="RE3" s="526"/>
      <c r="RF3" s="526"/>
      <c r="RG3" s="526"/>
      <c r="RH3" s="526"/>
      <c r="RI3" s="526"/>
      <c r="RJ3" s="526"/>
      <c r="RK3" s="526"/>
      <c r="RL3" s="526"/>
      <c r="RM3" s="526"/>
      <c r="RN3" s="526"/>
      <c r="RO3" s="526"/>
      <c r="RP3" s="526"/>
      <c r="RQ3" s="526"/>
      <c r="RR3" s="526"/>
      <c r="RS3" s="526"/>
      <c r="RT3" s="526"/>
      <c r="RU3" s="526"/>
      <c r="RV3" s="526"/>
      <c r="RW3" s="526"/>
      <c r="RX3" s="526"/>
      <c r="RY3" s="526"/>
      <c r="RZ3" s="526"/>
      <c r="SA3" s="526"/>
      <c r="SB3" s="526"/>
      <c r="SC3" s="526"/>
      <c r="SD3" s="526"/>
      <c r="SE3" s="526"/>
      <c r="SF3" s="526"/>
      <c r="SG3" s="526"/>
      <c r="SH3" s="526"/>
      <c r="SI3" s="526"/>
      <c r="SJ3" s="526"/>
      <c r="SK3" s="526"/>
      <c r="SL3" s="526"/>
      <c r="SM3" s="526"/>
      <c r="SN3" s="526"/>
      <c r="SO3" s="526"/>
      <c r="SP3" s="526"/>
      <c r="SQ3" s="526"/>
      <c r="SR3" s="526"/>
      <c r="SS3" s="526"/>
      <c r="ST3" s="526"/>
      <c r="SU3" s="526"/>
      <c r="SV3" s="526"/>
      <c r="SW3" s="526"/>
      <c r="SX3" s="526"/>
      <c r="SY3" s="526"/>
      <c r="SZ3" s="526"/>
      <c r="TA3" s="526"/>
      <c r="TB3" s="526"/>
      <c r="TC3" s="526"/>
      <c r="TD3" s="526"/>
      <c r="TE3" s="526"/>
      <c r="TF3" s="526"/>
      <c r="TG3" s="526"/>
      <c r="TH3" s="526"/>
      <c r="TI3" s="526"/>
      <c r="TJ3" s="526"/>
      <c r="TK3" s="526"/>
      <c r="TL3" s="526"/>
      <c r="TM3" s="526"/>
      <c r="TN3" s="526"/>
      <c r="TO3" s="526"/>
      <c r="TP3" s="526"/>
      <c r="TQ3" s="526"/>
      <c r="TR3" s="526"/>
      <c r="TS3" s="526"/>
      <c r="TT3" s="526"/>
      <c r="TU3" s="526"/>
      <c r="TV3" s="526"/>
      <c r="TW3" s="526"/>
      <c r="TX3" s="526"/>
      <c r="TY3" s="526"/>
      <c r="TZ3" s="526"/>
      <c r="UA3" s="526"/>
      <c r="UB3" s="526"/>
      <c r="UC3" s="526"/>
      <c r="UD3" s="526"/>
      <c r="UE3" s="526"/>
      <c r="UF3" s="526"/>
      <c r="UG3" s="526"/>
      <c r="UH3" s="526"/>
      <c r="UI3" s="526"/>
      <c r="UJ3" s="526"/>
      <c r="UK3" s="526"/>
      <c r="UL3" s="526"/>
      <c r="UM3" s="526"/>
      <c r="UN3" s="526"/>
      <c r="UO3" s="526"/>
      <c r="UP3" s="526"/>
      <c r="UQ3" s="526"/>
      <c r="UR3" s="526"/>
      <c r="US3" s="526"/>
      <c r="UT3" s="526"/>
      <c r="UU3" s="526"/>
      <c r="UV3" s="526"/>
      <c r="UW3" s="526"/>
      <c r="UX3" s="526"/>
      <c r="UY3" s="526"/>
      <c r="UZ3" s="526"/>
      <c r="VA3" s="526"/>
      <c r="VB3" s="526"/>
      <c r="VC3" s="526"/>
      <c r="VD3" s="526"/>
      <c r="VE3" s="526"/>
      <c r="VF3" s="526"/>
      <c r="VG3" s="526"/>
      <c r="VH3" s="526"/>
      <c r="VI3" s="526"/>
      <c r="VJ3" s="526"/>
      <c r="VK3" s="526"/>
      <c r="VL3" s="526"/>
      <c r="VM3" s="526"/>
      <c r="VN3" s="526"/>
      <c r="VO3" s="526"/>
      <c r="VP3" s="526"/>
      <c r="VQ3" s="526"/>
      <c r="VR3" s="526"/>
      <c r="VS3" s="526"/>
      <c r="VT3" s="526"/>
      <c r="VU3" s="526"/>
      <c r="VV3" s="526"/>
      <c r="VW3" s="526"/>
      <c r="VX3" s="526"/>
      <c r="VY3" s="526"/>
      <c r="VZ3" s="526"/>
      <c r="WA3" s="526"/>
      <c r="WB3" s="526"/>
      <c r="WC3" s="526"/>
      <c r="WD3" s="526"/>
      <c r="WE3" s="526"/>
      <c r="WF3" s="526"/>
      <c r="WG3" s="526"/>
      <c r="WH3" s="526"/>
      <c r="WI3" s="526"/>
      <c r="WJ3" s="526"/>
      <c r="WK3" s="526"/>
      <c r="WL3" s="526"/>
      <c r="WM3" s="526"/>
      <c r="WN3" s="526"/>
      <c r="WO3" s="526"/>
      <c r="WP3" s="526"/>
      <c r="WQ3" s="526"/>
      <c r="WR3" s="526"/>
      <c r="WS3" s="526"/>
      <c r="WT3" s="526"/>
      <c r="WU3" s="526"/>
      <c r="WV3" s="526"/>
      <c r="WW3" s="526"/>
      <c r="WX3" s="526"/>
      <c r="WY3" s="526"/>
      <c r="WZ3" s="526"/>
      <c r="XA3" s="526"/>
      <c r="XB3" s="526"/>
      <c r="XC3" s="526"/>
      <c r="XD3" s="526"/>
      <c r="XE3" s="526"/>
      <c r="XF3" s="526"/>
      <c r="XG3" s="526"/>
      <c r="XH3" s="526"/>
      <c r="XI3" s="526"/>
      <c r="XJ3" s="526"/>
      <c r="XK3" s="526"/>
      <c r="XL3" s="526"/>
      <c r="XM3" s="526"/>
      <c r="XN3" s="526"/>
      <c r="XO3" s="526"/>
      <c r="XP3" s="526"/>
      <c r="XQ3" s="526"/>
      <c r="XR3" s="526"/>
      <c r="XS3" s="526"/>
      <c r="XT3" s="526"/>
      <c r="XU3" s="526"/>
      <c r="XV3" s="526"/>
      <c r="XW3" s="526"/>
      <c r="XX3" s="526"/>
      <c r="XY3" s="526"/>
      <c r="XZ3" s="526"/>
      <c r="YA3" s="526"/>
      <c r="YB3" s="526"/>
      <c r="YC3" s="526"/>
      <c r="YD3" s="526"/>
      <c r="YE3" s="526"/>
      <c r="YF3" s="526"/>
      <c r="YG3" s="526"/>
      <c r="YH3" s="526"/>
      <c r="YI3" s="526"/>
      <c r="YJ3" s="526"/>
      <c r="YK3" s="526"/>
      <c r="YL3" s="526"/>
      <c r="YM3" s="526"/>
      <c r="YN3" s="526"/>
      <c r="YO3" s="526"/>
      <c r="YP3" s="526"/>
      <c r="YQ3" s="526"/>
      <c r="YR3" s="526"/>
      <c r="YS3" s="526"/>
      <c r="YT3" s="526"/>
      <c r="YU3" s="526"/>
      <c r="YV3" s="526"/>
      <c r="YW3" s="526"/>
      <c r="YX3" s="526"/>
      <c r="YY3" s="526"/>
      <c r="YZ3" s="526"/>
      <c r="ZA3" s="526"/>
      <c r="ZB3" s="526"/>
      <c r="ZC3" s="526"/>
      <c r="ZD3" s="526"/>
      <c r="ZE3" s="526"/>
      <c r="ZF3" s="526"/>
    </row>
    <row r="4" spans="1:682" ht="15" thickTop="1" x14ac:dyDescent="0.3">
      <c r="B4" s="8"/>
      <c r="C4" s="567" t="s">
        <v>3</v>
      </c>
      <c r="D4" s="568"/>
      <c r="E4" s="568"/>
      <c r="F4" s="569"/>
      <c r="G4" s="9"/>
    </row>
    <row r="5" spans="1:682" ht="15" thickBot="1" x14ac:dyDescent="0.35">
      <c r="B5" s="8"/>
      <c r="C5" s="570"/>
      <c r="D5" s="571"/>
      <c r="E5" s="571"/>
      <c r="F5" s="572"/>
      <c r="G5" s="9"/>
    </row>
    <row r="6" spans="1:682" ht="15" thickTop="1" x14ac:dyDescent="0.3">
      <c r="B6" s="8"/>
      <c r="G6" s="9"/>
    </row>
    <row r="7" spans="1:682" x14ac:dyDescent="0.3">
      <c r="B7" s="8"/>
      <c r="G7" s="9"/>
    </row>
    <row r="8" spans="1:682" x14ac:dyDescent="0.3">
      <c r="B8" s="8"/>
      <c r="G8" s="9"/>
    </row>
    <row r="9" spans="1:682" x14ac:dyDescent="0.3">
      <c r="B9" s="8"/>
      <c r="G9" s="9"/>
    </row>
    <row r="10" spans="1:682" x14ac:dyDescent="0.3">
      <c r="B10" s="8"/>
      <c r="G10" s="9"/>
    </row>
    <row r="11" spans="1:682" x14ac:dyDescent="0.3">
      <c r="B11" s="8"/>
      <c r="G11" s="9"/>
    </row>
    <row r="12" spans="1:682" x14ac:dyDescent="0.3">
      <c r="B12" s="8"/>
      <c r="G12" s="9"/>
    </row>
    <row r="13" spans="1:682" x14ac:dyDescent="0.3">
      <c r="B13" s="8"/>
      <c r="G13" s="9"/>
    </row>
    <row r="14" spans="1:682" x14ac:dyDescent="0.3">
      <c r="B14" s="8"/>
      <c r="G14" s="9"/>
    </row>
    <row r="15" spans="1:682" x14ac:dyDescent="0.3">
      <c r="B15" s="8"/>
      <c r="G15" s="9"/>
    </row>
    <row r="16" spans="1:682" x14ac:dyDescent="0.3">
      <c r="B16" s="8"/>
      <c r="G16" s="9"/>
    </row>
    <row r="17" spans="2:7" x14ac:dyDescent="0.3">
      <c r="B17" s="8"/>
      <c r="G17" s="9"/>
    </row>
    <row r="18" spans="2:7" x14ac:dyDescent="0.3">
      <c r="B18" s="8"/>
      <c r="G18" s="9"/>
    </row>
    <row r="19" spans="2:7" x14ac:dyDescent="0.3">
      <c r="B19" s="8"/>
      <c r="G19" s="9"/>
    </row>
    <row r="20" spans="2:7" x14ac:dyDescent="0.3">
      <c r="B20" s="8"/>
      <c r="G20" s="9"/>
    </row>
    <row r="21" spans="2:7" x14ac:dyDescent="0.3">
      <c r="B21" s="8"/>
      <c r="G21" s="9"/>
    </row>
    <row r="22" spans="2:7" x14ac:dyDescent="0.3">
      <c r="B22" s="8"/>
      <c r="G22" s="9"/>
    </row>
    <row r="23" spans="2:7" x14ac:dyDescent="0.3">
      <c r="B23" s="8"/>
      <c r="G23" s="9"/>
    </row>
    <row r="24" spans="2:7" x14ac:dyDescent="0.3">
      <c r="B24" s="8"/>
      <c r="G24" s="9"/>
    </row>
    <row r="25" spans="2:7" x14ac:dyDescent="0.3">
      <c r="B25" s="8"/>
      <c r="G25" s="9"/>
    </row>
    <row r="26" spans="2:7" x14ac:dyDescent="0.3">
      <c r="B26" s="8"/>
      <c r="G26" s="9"/>
    </row>
    <row r="27" spans="2:7" x14ac:dyDescent="0.3">
      <c r="B27" s="8"/>
      <c r="G27" s="9"/>
    </row>
    <row r="28" spans="2:7" x14ac:dyDescent="0.3">
      <c r="B28" s="8"/>
      <c r="G28" s="9"/>
    </row>
    <row r="29" spans="2:7" x14ac:dyDescent="0.3">
      <c r="B29" s="8"/>
      <c r="G29" s="9"/>
    </row>
    <row r="30" spans="2:7" x14ac:dyDescent="0.3">
      <c r="B30" s="8"/>
      <c r="G30" s="9"/>
    </row>
    <row r="31" spans="2:7" x14ac:dyDescent="0.3">
      <c r="B31" s="8"/>
      <c r="G31" s="9"/>
    </row>
    <row r="32" spans="2:7" x14ac:dyDescent="0.3">
      <c r="B32" s="8"/>
      <c r="G32" s="9"/>
    </row>
    <row r="33" spans="2:7" x14ac:dyDescent="0.3">
      <c r="B33" s="8"/>
      <c r="G33" s="9"/>
    </row>
    <row r="34" spans="2:7" x14ac:dyDescent="0.3">
      <c r="B34" s="8"/>
      <c r="G34" s="9"/>
    </row>
    <row r="35" spans="2:7" x14ac:dyDescent="0.3">
      <c r="B35" s="8"/>
      <c r="G35" s="9"/>
    </row>
    <row r="36" spans="2:7" x14ac:dyDescent="0.3">
      <c r="B36" s="8"/>
      <c r="G36" s="9"/>
    </row>
    <row r="37" spans="2:7" x14ac:dyDescent="0.3">
      <c r="B37" s="8"/>
      <c r="G37" s="9"/>
    </row>
    <row r="38" spans="2:7" x14ac:dyDescent="0.3">
      <c r="B38" s="8"/>
      <c r="G38" s="9"/>
    </row>
    <row r="39" spans="2:7" x14ac:dyDescent="0.3">
      <c r="B39" s="8"/>
      <c r="G39" s="9"/>
    </row>
    <row r="40" spans="2:7" x14ac:dyDescent="0.3">
      <c r="B40" s="8"/>
      <c r="G40" s="9"/>
    </row>
    <row r="41" spans="2:7" ht="15" thickBot="1" x14ac:dyDescent="0.35">
      <c r="B41" s="10"/>
      <c r="C41" s="11"/>
      <c r="D41" s="11"/>
      <c r="E41" s="11"/>
      <c r="F41" s="11"/>
      <c r="G41" s="12"/>
    </row>
    <row r="42" spans="2:7" ht="15" thickTop="1" x14ac:dyDescent="0.3">
      <c r="B42" s="407"/>
      <c r="C42" s="407"/>
      <c r="D42" s="407"/>
      <c r="E42" s="407"/>
      <c r="F42" s="407"/>
      <c r="G42" s="407"/>
    </row>
  </sheetData>
  <mergeCells count="2">
    <mergeCell ref="C4:F5"/>
    <mergeCell ref="G1:K3"/>
  </mergeCells>
  <pageMargins left="0.7" right="0.7" top="0.75" bottom="0.75" header="0.3" footer="0.3"/>
  <drawing r:id="rId1"/>
  <legacyDrawing r:id="rId2"/>
  <controls>
    <mc:AlternateContent xmlns:mc="http://schemas.openxmlformats.org/markup-compatibility/2006">
      <mc:Choice Requires="x14">
        <control shapeId="2062" r:id="rId3" name="btnCaratula">
          <controlPr defaultSize="0" autoLine="0" r:id="rId4">
            <anchor moveWithCells="1">
              <from>
                <xdr:col>0</xdr:col>
                <xdr:colOff>601980</xdr:colOff>
                <xdr:row>0</xdr:row>
                <xdr:rowOff>121920</xdr:rowOff>
              </from>
              <to>
                <xdr:col>2</xdr:col>
                <xdr:colOff>685800</xdr:colOff>
                <xdr:row>2</xdr:row>
                <xdr:rowOff>53340</xdr:rowOff>
              </to>
            </anchor>
          </controlPr>
        </control>
      </mc:Choice>
      <mc:Fallback>
        <control shapeId="2062" r:id="rId3" name="btnCaratula"/>
      </mc:Fallback>
    </mc:AlternateContent>
    <mc:AlternateContent xmlns:mc="http://schemas.openxmlformats.org/markup-compatibility/2006">
      <mc:Choice Requires="x14">
        <control shapeId="2063" r:id="rId5" name="btnHipotesis">
          <controlPr defaultSize="0" autoLine="0" r:id="rId6">
            <anchor moveWithCells="1">
              <from>
                <xdr:col>2</xdr:col>
                <xdr:colOff>0</xdr:colOff>
                <xdr:row>6</xdr:row>
                <xdr:rowOff>22860</xdr:rowOff>
              </from>
              <to>
                <xdr:col>5</xdr:col>
                <xdr:colOff>693420</xdr:colOff>
                <xdr:row>7</xdr:row>
                <xdr:rowOff>137160</xdr:rowOff>
              </to>
            </anchor>
          </controlPr>
        </control>
      </mc:Choice>
      <mc:Fallback>
        <control shapeId="2063" r:id="rId5" name="btnHipotesis"/>
      </mc:Fallback>
    </mc:AlternateContent>
    <mc:AlternateContent xmlns:mc="http://schemas.openxmlformats.org/markup-compatibility/2006">
      <mc:Choice Requires="x14">
        <control shapeId="2064" r:id="rId7" name="btnProyeccionVentas">
          <controlPr defaultSize="0" autoLine="0" autoPict="0" r:id="rId8">
            <anchor moveWithCells="1">
              <from>
                <xdr:col>2</xdr:col>
                <xdr:colOff>0</xdr:colOff>
                <xdr:row>8</xdr:row>
                <xdr:rowOff>38100</xdr:rowOff>
              </from>
              <to>
                <xdr:col>6</xdr:col>
                <xdr:colOff>15240</xdr:colOff>
                <xdr:row>9</xdr:row>
                <xdr:rowOff>121920</xdr:rowOff>
              </to>
            </anchor>
          </controlPr>
        </control>
      </mc:Choice>
      <mc:Fallback>
        <control shapeId="2064" r:id="rId7" name="btnProyeccionVentas"/>
      </mc:Fallback>
    </mc:AlternateContent>
    <mc:AlternateContent xmlns:mc="http://schemas.openxmlformats.org/markup-compatibility/2006">
      <mc:Choice Requires="x14">
        <control shapeId="2065" r:id="rId9" name="btnModEgresoCoFijo">
          <controlPr defaultSize="0" autoLine="0" autoPict="0" r:id="rId10">
            <anchor moveWithCells="1">
              <from>
                <xdr:col>2</xdr:col>
                <xdr:colOff>0</xdr:colOff>
                <xdr:row>14</xdr:row>
                <xdr:rowOff>91440</xdr:rowOff>
              </from>
              <to>
                <xdr:col>6</xdr:col>
                <xdr:colOff>15240</xdr:colOff>
                <xdr:row>16</xdr:row>
                <xdr:rowOff>22860</xdr:rowOff>
              </to>
            </anchor>
          </controlPr>
        </control>
      </mc:Choice>
      <mc:Fallback>
        <control shapeId="2065" r:id="rId9" name="btnModEgresoCoFijo"/>
      </mc:Fallback>
    </mc:AlternateContent>
    <mc:AlternateContent xmlns:mc="http://schemas.openxmlformats.org/markup-compatibility/2006">
      <mc:Choice Requires="x14">
        <control shapeId="2066" r:id="rId11" name="btnModeloIngresos">
          <controlPr defaultSize="0" autoLine="0" r:id="rId12">
            <anchor moveWithCells="1">
              <from>
                <xdr:col>2</xdr:col>
                <xdr:colOff>0</xdr:colOff>
                <xdr:row>12</xdr:row>
                <xdr:rowOff>68580</xdr:rowOff>
              </from>
              <to>
                <xdr:col>5</xdr:col>
                <xdr:colOff>693420</xdr:colOff>
                <xdr:row>14</xdr:row>
                <xdr:rowOff>0</xdr:rowOff>
              </to>
            </anchor>
          </controlPr>
        </control>
      </mc:Choice>
      <mc:Fallback>
        <control shapeId="2066" r:id="rId11" name="btnModeloIngresos"/>
      </mc:Fallback>
    </mc:AlternateContent>
    <mc:AlternateContent xmlns:mc="http://schemas.openxmlformats.org/markup-compatibility/2006">
      <mc:Choice Requires="x14">
        <control shapeId="2067" r:id="rId13" name="btnCapacidadOp">
          <controlPr defaultSize="0" autoLine="0" autoPict="0" r:id="rId14">
            <anchor moveWithCells="1">
              <from>
                <xdr:col>2</xdr:col>
                <xdr:colOff>0</xdr:colOff>
                <xdr:row>10</xdr:row>
                <xdr:rowOff>45720</xdr:rowOff>
              </from>
              <to>
                <xdr:col>6</xdr:col>
                <xdr:colOff>15240</xdr:colOff>
                <xdr:row>11</xdr:row>
                <xdr:rowOff>129540</xdr:rowOff>
              </to>
            </anchor>
          </controlPr>
        </control>
      </mc:Choice>
      <mc:Fallback>
        <control shapeId="2067" r:id="rId13" name="btnCapacidadOp"/>
      </mc:Fallback>
    </mc:AlternateContent>
    <mc:AlternateContent xmlns:mc="http://schemas.openxmlformats.org/markup-compatibility/2006">
      <mc:Choice Requires="x14">
        <control shapeId="2068" r:id="rId15" name="btnModEgresoCoVariable">
          <controlPr defaultSize="0" autoLine="0" autoPict="0" r:id="rId16">
            <anchor moveWithCells="1">
              <from>
                <xdr:col>2</xdr:col>
                <xdr:colOff>0</xdr:colOff>
                <xdr:row>16</xdr:row>
                <xdr:rowOff>83820</xdr:rowOff>
              </from>
              <to>
                <xdr:col>6</xdr:col>
                <xdr:colOff>15240</xdr:colOff>
                <xdr:row>18</xdr:row>
                <xdr:rowOff>15240</xdr:rowOff>
              </to>
            </anchor>
          </controlPr>
        </control>
      </mc:Choice>
      <mc:Fallback>
        <control shapeId="2068" r:id="rId15" name="btnModEgresoCoVariable"/>
      </mc:Fallback>
    </mc:AlternateContent>
    <mc:AlternateContent xmlns:mc="http://schemas.openxmlformats.org/markup-compatibility/2006">
      <mc:Choice Requires="x14">
        <control shapeId="2069" r:id="rId17" name="btnModDeEgresosCoRRHH">
          <controlPr defaultSize="0" autoLine="0" autoPict="0" r:id="rId18">
            <anchor moveWithCells="1">
              <from>
                <xdr:col>2</xdr:col>
                <xdr:colOff>0</xdr:colOff>
                <xdr:row>18</xdr:row>
                <xdr:rowOff>68580</xdr:rowOff>
              </from>
              <to>
                <xdr:col>6</xdr:col>
                <xdr:colOff>15240</xdr:colOff>
                <xdr:row>20</xdr:row>
                <xdr:rowOff>0</xdr:rowOff>
              </to>
            </anchor>
          </controlPr>
        </control>
      </mc:Choice>
      <mc:Fallback>
        <control shapeId="2069" r:id="rId17" name="btnModDeEgresosCoRRHH"/>
      </mc:Fallback>
    </mc:AlternateContent>
    <mc:AlternateContent xmlns:mc="http://schemas.openxmlformats.org/markup-compatibility/2006">
      <mc:Choice Requires="x14">
        <control shapeId="2070" r:id="rId19" name="btnModeloDeEgresos">
          <controlPr defaultSize="0" autoLine="0" autoPict="0" r:id="rId20">
            <anchor moveWithCells="1">
              <from>
                <xdr:col>2</xdr:col>
                <xdr:colOff>0</xdr:colOff>
                <xdr:row>20</xdr:row>
                <xdr:rowOff>60960</xdr:rowOff>
              </from>
              <to>
                <xdr:col>6</xdr:col>
                <xdr:colOff>15240</xdr:colOff>
                <xdr:row>21</xdr:row>
                <xdr:rowOff>144780</xdr:rowOff>
              </to>
            </anchor>
          </controlPr>
        </control>
      </mc:Choice>
      <mc:Fallback>
        <control shapeId="2070" r:id="rId19" name="btnModeloDeEgresos"/>
      </mc:Fallback>
    </mc:AlternateContent>
    <mc:AlternateContent xmlns:mc="http://schemas.openxmlformats.org/markup-compatibility/2006">
      <mc:Choice Requires="x14">
        <control shapeId="2071" r:id="rId21" name="btnModeloDeInversion">
          <controlPr defaultSize="0" autoLine="0" autoPict="0" r:id="rId22">
            <anchor moveWithCells="1">
              <from>
                <xdr:col>2</xdr:col>
                <xdr:colOff>0</xdr:colOff>
                <xdr:row>22</xdr:row>
                <xdr:rowOff>76200</xdr:rowOff>
              </from>
              <to>
                <xdr:col>6</xdr:col>
                <xdr:colOff>15240</xdr:colOff>
                <xdr:row>24</xdr:row>
                <xdr:rowOff>7620</xdr:rowOff>
              </to>
            </anchor>
          </controlPr>
        </control>
      </mc:Choice>
      <mc:Fallback>
        <control shapeId="2071" r:id="rId21" name="btnModeloDeInversion"/>
      </mc:Fallback>
    </mc:AlternateContent>
    <mc:AlternateContent xmlns:mc="http://schemas.openxmlformats.org/markup-compatibility/2006">
      <mc:Choice Requires="x14">
        <control shapeId="2072" r:id="rId23" name="btnAmortizacion">
          <controlPr defaultSize="0" autoLine="0" r:id="rId24">
            <anchor moveWithCells="1">
              <from>
                <xdr:col>2</xdr:col>
                <xdr:colOff>0</xdr:colOff>
                <xdr:row>24</xdr:row>
                <xdr:rowOff>76200</xdr:rowOff>
              </from>
              <to>
                <xdr:col>5</xdr:col>
                <xdr:colOff>693420</xdr:colOff>
                <xdr:row>26</xdr:row>
                <xdr:rowOff>7620</xdr:rowOff>
              </to>
            </anchor>
          </controlPr>
        </control>
      </mc:Choice>
      <mc:Fallback>
        <control shapeId="2072" r:id="rId23" name="btnAmortizacion"/>
      </mc:Fallback>
    </mc:AlternateContent>
    <mc:AlternateContent xmlns:mc="http://schemas.openxmlformats.org/markup-compatibility/2006">
      <mc:Choice Requires="x14">
        <control shapeId="2073" r:id="rId25" name="btnPresupuestoFinanciero">
          <controlPr defaultSize="0" autoLine="0" r:id="rId26">
            <anchor moveWithCells="1">
              <from>
                <xdr:col>2</xdr:col>
                <xdr:colOff>0</xdr:colOff>
                <xdr:row>26</xdr:row>
                <xdr:rowOff>68580</xdr:rowOff>
              </from>
              <to>
                <xdr:col>5</xdr:col>
                <xdr:colOff>693420</xdr:colOff>
                <xdr:row>28</xdr:row>
                <xdr:rowOff>0</xdr:rowOff>
              </to>
            </anchor>
          </controlPr>
        </control>
      </mc:Choice>
      <mc:Fallback>
        <control shapeId="2073" r:id="rId25" name="btnPresupuestoFinanciero"/>
      </mc:Fallback>
    </mc:AlternateContent>
    <mc:AlternateContent xmlns:mc="http://schemas.openxmlformats.org/markup-compatibility/2006">
      <mc:Choice Requires="x14">
        <control shapeId="2074" r:id="rId27" name="btnMatrizDeRiesgo">
          <controlPr defaultSize="0" autoLine="0" r:id="rId28">
            <anchor moveWithCells="1">
              <from>
                <xdr:col>2</xdr:col>
                <xdr:colOff>0</xdr:colOff>
                <xdr:row>28</xdr:row>
                <xdr:rowOff>83820</xdr:rowOff>
              </from>
              <to>
                <xdr:col>5</xdr:col>
                <xdr:colOff>693420</xdr:colOff>
                <xdr:row>30</xdr:row>
                <xdr:rowOff>15240</xdr:rowOff>
              </to>
            </anchor>
          </controlPr>
        </control>
      </mc:Choice>
      <mc:Fallback>
        <control shapeId="2074" r:id="rId27" name="btnMatrizDeRiesgo"/>
      </mc:Fallback>
    </mc:AlternateContent>
    <mc:AlternateContent xmlns:mc="http://schemas.openxmlformats.org/markup-compatibility/2006">
      <mc:Choice Requires="x14">
        <control shapeId="2075" r:id="rId29" name="CommandButton3">
          <controlPr defaultSize="0" autoLine="0" autoPict="0" r:id="rId30">
            <anchor moveWithCells="1">
              <from>
                <xdr:col>2</xdr:col>
                <xdr:colOff>228600</xdr:colOff>
                <xdr:row>32</xdr:row>
                <xdr:rowOff>7620</xdr:rowOff>
              </from>
              <to>
                <xdr:col>2</xdr:col>
                <xdr:colOff>236220</xdr:colOff>
                <xdr:row>32</xdr:row>
                <xdr:rowOff>15240</xdr:rowOff>
              </to>
            </anchor>
          </controlPr>
        </control>
      </mc:Choice>
      <mc:Fallback>
        <control shapeId="2075" r:id="rId29" name="CommandButton3"/>
      </mc:Fallback>
    </mc:AlternateContent>
    <mc:AlternateContent xmlns:mc="http://schemas.openxmlformats.org/markup-compatibility/2006">
      <mc:Choice Requires="x14">
        <control shapeId="2076" r:id="rId31" name="btnEscenario1">
          <controlPr defaultSize="0" autoLine="0" r:id="rId32">
            <anchor moveWithCells="1">
              <from>
                <xdr:col>2</xdr:col>
                <xdr:colOff>0</xdr:colOff>
                <xdr:row>30</xdr:row>
                <xdr:rowOff>76200</xdr:rowOff>
              </from>
              <to>
                <xdr:col>5</xdr:col>
                <xdr:colOff>693420</xdr:colOff>
                <xdr:row>32</xdr:row>
                <xdr:rowOff>7620</xdr:rowOff>
              </to>
            </anchor>
          </controlPr>
        </control>
      </mc:Choice>
      <mc:Fallback>
        <control shapeId="2076" r:id="rId31" name="btnEscenario1"/>
      </mc:Fallback>
    </mc:AlternateContent>
    <mc:AlternateContent xmlns:mc="http://schemas.openxmlformats.org/markup-compatibility/2006">
      <mc:Choice Requires="x14">
        <control shapeId="2077" r:id="rId33" name="btnEscenario3">
          <controlPr defaultSize="0" autoLine="0" autoPict="0" r:id="rId34">
            <anchor moveWithCells="1">
              <from>
                <xdr:col>2</xdr:col>
                <xdr:colOff>0</xdr:colOff>
                <xdr:row>34</xdr:row>
                <xdr:rowOff>30480</xdr:rowOff>
              </from>
              <to>
                <xdr:col>6</xdr:col>
                <xdr:colOff>15240</xdr:colOff>
                <xdr:row>35</xdr:row>
                <xdr:rowOff>114300</xdr:rowOff>
              </to>
            </anchor>
          </controlPr>
        </control>
      </mc:Choice>
      <mc:Fallback>
        <control shapeId="2077" r:id="rId33" name="btnEscenario3"/>
      </mc:Fallback>
    </mc:AlternateContent>
    <mc:AlternateContent xmlns:mc="http://schemas.openxmlformats.org/markup-compatibility/2006">
      <mc:Choice Requires="x14">
        <control shapeId="2078" r:id="rId35" name="btnEscenario2">
          <controlPr defaultSize="0" autoLine="0" r:id="rId36">
            <anchor moveWithCells="1">
              <from>
                <xdr:col>2</xdr:col>
                <xdr:colOff>0</xdr:colOff>
                <xdr:row>32</xdr:row>
                <xdr:rowOff>53340</xdr:rowOff>
              </from>
              <to>
                <xdr:col>5</xdr:col>
                <xdr:colOff>693420</xdr:colOff>
                <xdr:row>33</xdr:row>
                <xdr:rowOff>167640</xdr:rowOff>
              </to>
            </anchor>
          </controlPr>
        </control>
      </mc:Choice>
      <mc:Fallback>
        <control shapeId="2078" r:id="rId35" name="btnEscenario2"/>
      </mc:Fallback>
    </mc:AlternateContent>
    <mc:AlternateContent xmlns:mc="http://schemas.openxmlformats.org/markup-compatibility/2006">
      <mc:Choice Requires="x14">
        <control shapeId="2081" r:id="rId37" name="btnPlanDeContingencia">
          <controlPr defaultSize="0" autoLine="0" r:id="rId38">
            <anchor moveWithCells="1">
              <from>
                <xdr:col>1</xdr:col>
                <xdr:colOff>601980</xdr:colOff>
                <xdr:row>36</xdr:row>
                <xdr:rowOff>7620</xdr:rowOff>
              </from>
              <to>
                <xdr:col>5</xdr:col>
                <xdr:colOff>502920</xdr:colOff>
                <xdr:row>37</xdr:row>
                <xdr:rowOff>121920</xdr:rowOff>
              </to>
            </anchor>
          </controlPr>
        </control>
      </mc:Choice>
      <mc:Fallback>
        <control shapeId="2081" r:id="rId37" name="btnPlanDeContingencia"/>
      </mc:Fallback>
    </mc:AlternateContent>
    <mc:AlternateContent xmlns:mc="http://schemas.openxmlformats.org/markup-compatibility/2006">
      <mc:Choice Requires="x14">
        <control shapeId="2082" r:id="rId39" name="btnHojaAuxiliar">
          <controlPr defaultSize="0" autoLine="0" r:id="rId40">
            <anchor moveWithCells="1">
              <from>
                <xdr:col>1</xdr:col>
                <xdr:colOff>601980</xdr:colOff>
                <xdr:row>37</xdr:row>
                <xdr:rowOff>144780</xdr:rowOff>
              </from>
              <to>
                <xdr:col>5</xdr:col>
                <xdr:colOff>502920</xdr:colOff>
                <xdr:row>39</xdr:row>
                <xdr:rowOff>76200</xdr:rowOff>
              </to>
            </anchor>
          </controlPr>
        </control>
      </mc:Choice>
      <mc:Fallback>
        <control shapeId="2082" r:id="rId39" name="btnHojaAuxilia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B190"/>
  <sheetViews>
    <sheetView showGridLines="0" zoomScale="72" zoomScaleNormal="72" workbookViewId="0">
      <pane xSplit="2" ySplit="1" topLeftCell="C19" activePane="bottomRight" state="frozen"/>
      <selection pane="topRight" activeCell="C1" sqref="C1"/>
      <selection pane="bottomLeft" activeCell="A2" sqref="A2"/>
      <selection pane="bottomRight" activeCell="E49" sqref="E49"/>
    </sheetView>
  </sheetViews>
  <sheetFormatPr baseColWidth="10" defaultRowHeight="14.4" x14ac:dyDescent="0.3"/>
  <cols>
    <col min="1" max="1" width="34.33203125" customWidth="1"/>
    <col min="2" max="2" width="31.109375" customWidth="1"/>
    <col min="3" max="3" width="24" customWidth="1"/>
    <col min="4" max="4" width="31.44140625" customWidth="1"/>
    <col min="5" max="5" width="17.44140625" customWidth="1"/>
    <col min="6" max="6" width="23.5546875" customWidth="1"/>
    <col min="7" max="7" width="13.109375" customWidth="1"/>
    <col min="8" max="8" width="27.6640625" customWidth="1"/>
    <col min="9" max="9" width="14.6640625" customWidth="1"/>
    <col min="10" max="10" width="25" customWidth="1"/>
    <col min="11" max="11" width="16" customWidth="1"/>
    <col min="12" max="12" width="22.33203125" customWidth="1"/>
    <col min="13" max="13" width="14" customWidth="1"/>
    <col min="14" max="14" width="26.6640625" customWidth="1"/>
    <col min="15" max="15" width="13.109375" customWidth="1"/>
    <col min="16" max="16" width="24" customWidth="1"/>
    <col min="17" max="17" width="13.5546875" customWidth="1"/>
    <col min="18" max="18" width="29.44140625" customWidth="1"/>
    <col min="19" max="19" width="12.5546875" customWidth="1"/>
    <col min="20" max="20" width="23.6640625" customWidth="1"/>
    <col min="21" max="21" width="13.109375" customWidth="1"/>
    <col min="22" max="22" width="46" customWidth="1"/>
    <col min="23" max="23" width="12.5546875" customWidth="1"/>
    <col min="24" max="24" width="24.44140625" customWidth="1"/>
    <col min="25" max="25" width="13.5546875" customWidth="1"/>
    <col min="26" max="26" width="24.6640625" customWidth="1"/>
    <col min="27" max="27" width="13.109375" customWidth="1"/>
    <col min="28" max="28" width="23.5546875" customWidth="1"/>
  </cols>
  <sheetData>
    <row r="1" spans="4:14" s="526" customFormat="1" ht="44.25" customHeight="1" thickBot="1" x14ac:dyDescent="0.35">
      <c r="E1" s="750" t="s">
        <v>319</v>
      </c>
      <c r="F1" s="750"/>
      <c r="G1" s="750"/>
      <c r="H1" s="750"/>
      <c r="I1" s="750"/>
      <c r="J1" s="750"/>
      <c r="K1" s="750"/>
    </row>
    <row r="2" spans="4:14" ht="15" thickTop="1" x14ac:dyDescent="0.3"/>
    <row r="3" spans="4:14" ht="15" thickBot="1" x14ac:dyDescent="0.35"/>
    <row r="4" spans="4:14" ht="16.2" thickTop="1" x14ac:dyDescent="0.3">
      <c r="D4" s="580" t="s">
        <v>15</v>
      </c>
      <c r="E4" s="581"/>
      <c r="F4" s="581"/>
      <c r="G4" s="582"/>
    </row>
    <row r="5" spans="4:14" ht="15.6" x14ac:dyDescent="0.3">
      <c r="D5" s="17" t="s">
        <v>7</v>
      </c>
      <c r="E5" s="16" t="s">
        <v>8</v>
      </c>
      <c r="F5" s="751" t="s">
        <v>9</v>
      </c>
      <c r="G5" s="752"/>
    </row>
    <row r="6" spans="4:14" ht="15.6" x14ac:dyDescent="0.3">
      <c r="D6" s="18">
        <f>Hipótesis!B23</f>
        <v>2022</v>
      </c>
      <c r="E6" s="14">
        <f>Hipótesis!C23</f>
        <v>0.03</v>
      </c>
      <c r="F6" s="753">
        <f>Hipótesis!D23</f>
        <v>72000000</v>
      </c>
      <c r="G6" s="754"/>
    </row>
    <row r="7" spans="4:14" ht="15.6" x14ac:dyDescent="0.3">
      <c r="D7" s="18">
        <f>Hipótesis!B24</f>
        <v>2023</v>
      </c>
      <c r="E7" s="14">
        <f>Hipótesis!C24</f>
        <v>0.06</v>
      </c>
      <c r="F7" s="753">
        <f>Hipótesis!D24</f>
        <v>144000000</v>
      </c>
      <c r="G7" s="754"/>
    </row>
    <row r="8" spans="4:14" ht="16.2" thickBot="1" x14ac:dyDescent="0.35">
      <c r="D8" s="19">
        <f>Hipótesis!B25</f>
        <v>2024</v>
      </c>
      <c r="E8" s="20">
        <f>Hipótesis!C25</f>
        <v>0.1</v>
      </c>
      <c r="F8" s="755">
        <f>Hipótesis!D25</f>
        <v>240000000</v>
      </c>
      <c r="G8" s="756"/>
    </row>
    <row r="9" spans="4:14" ht="15.6" thickTop="1" thickBot="1" x14ac:dyDescent="0.35"/>
    <row r="10" spans="4:14" ht="15" customHeight="1" thickTop="1" x14ac:dyDescent="0.3">
      <c r="D10" s="757" t="s">
        <v>56</v>
      </c>
      <c r="E10" s="758"/>
      <c r="F10" s="758"/>
      <c r="G10" s="758"/>
      <c r="H10" s="758"/>
      <c r="I10" s="758"/>
      <c r="J10" s="758"/>
      <c r="K10" s="758"/>
      <c r="L10" s="758"/>
      <c r="M10" s="758"/>
      <c r="N10" s="759"/>
    </row>
    <row r="11" spans="4:14" ht="15.6" customHeight="1" x14ac:dyDescent="0.3">
      <c r="D11" s="760"/>
      <c r="E11" s="557"/>
      <c r="F11" s="557"/>
      <c r="G11" s="557"/>
      <c r="H11" s="557"/>
      <c r="I11" s="557"/>
      <c r="J11" s="557"/>
      <c r="K11" s="557"/>
      <c r="L11" s="557"/>
      <c r="M11" s="557"/>
      <c r="N11" s="761"/>
    </row>
    <row r="12" spans="4:14" ht="15.6" customHeight="1" thickBot="1" x14ac:dyDescent="0.35">
      <c r="D12" s="762"/>
      <c r="E12" s="763"/>
      <c r="F12" s="763"/>
      <c r="G12" s="763"/>
      <c r="H12" s="763"/>
      <c r="I12" s="763"/>
      <c r="J12" s="763"/>
      <c r="K12" s="763"/>
      <c r="L12" s="763"/>
      <c r="M12" s="763"/>
      <c r="N12" s="764"/>
    </row>
    <row r="13" spans="4:14" ht="15.6" thickTop="1" thickBot="1" x14ac:dyDescent="0.35"/>
    <row r="14" spans="4:14" ht="15.6" customHeight="1" thickTop="1" thickBot="1" x14ac:dyDescent="0.35">
      <c r="D14" s="765" t="s">
        <v>433</v>
      </c>
      <c r="E14" s="766"/>
      <c r="F14" s="766"/>
      <c r="G14" s="766"/>
      <c r="H14" s="766"/>
      <c r="I14" s="766"/>
      <c r="J14" s="766"/>
      <c r="K14" s="766"/>
      <c r="L14" s="766"/>
      <c r="M14" s="766"/>
      <c r="N14" s="767"/>
    </row>
    <row r="15" spans="4:14" ht="15" thickTop="1" x14ac:dyDescent="0.3"/>
    <row r="16" spans="4:14" ht="15" thickBot="1" x14ac:dyDescent="0.35"/>
    <row r="17" spans="1:4" ht="26.4" thickBot="1" x14ac:dyDescent="0.55000000000000004">
      <c r="A17" s="546" t="s">
        <v>103</v>
      </c>
      <c r="B17" s="548"/>
      <c r="C17" s="548"/>
      <c r="D17" s="549"/>
    </row>
    <row r="18" spans="1:4" ht="30.75" customHeight="1" thickBot="1" x14ac:dyDescent="0.35">
      <c r="A18" s="547" t="s">
        <v>101</v>
      </c>
      <c r="B18" s="684"/>
      <c r="C18" s="746"/>
      <c r="D18" s="747"/>
    </row>
    <row r="19" spans="1:4" ht="21.6" thickBot="1" x14ac:dyDescent="0.35">
      <c r="A19" s="687" t="s">
        <v>27</v>
      </c>
      <c r="B19" s="688"/>
      <c r="C19" s="748" t="s">
        <v>104</v>
      </c>
      <c r="D19" s="749"/>
    </row>
    <row r="20" spans="1:4" ht="15" thickBot="1" x14ac:dyDescent="0.35">
      <c r="A20" s="689"/>
      <c r="B20" s="690"/>
      <c r="C20" s="140" t="s">
        <v>42</v>
      </c>
      <c r="D20" s="141" t="s">
        <v>27</v>
      </c>
    </row>
    <row r="21" spans="1:4" x14ac:dyDescent="0.3">
      <c r="A21" s="631" t="s">
        <v>98</v>
      </c>
      <c r="B21" s="639"/>
      <c r="C21" s="142">
        <v>1</v>
      </c>
      <c r="D21" s="143" t="s">
        <v>105</v>
      </c>
    </row>
    <row r="22" spans="1:4" x14ac:dyDescent="0.3">
      <c r="A22" s="640"/>
      <c r="B22" s="641"/>
      <c r="C22" s="138">
        <v>1</v>
      </c>
      <c r="D22" s="139" t="s">
        <v>106</v>
      </c>
    </row>
    <row r="23" spans="1:4" x14ac:dyDescent="0.3">
      <c r="A23" s="640"/>
      <c r="B23" s="641"/>
      <c r="C23" s="138">
        <v>1</v>
      </c>
      <c r="D23" s="139" t="s">
        <v>107</v>
      </c>
    </row>
    <row r="24" spans="1:4" x14ac:dyDescent="0.3">
      <c r="A24" s="640"/>
      <c r="B24" s="641"/>
      <c r="C24" s="236">
        <v>1</v>
      </c>
      <c r="D24" s="139" t="s">
        <v>108</v>
      </c>
    </row>
    <row r="25" spans="1:4" ht="15" thickBot="1" x14ac:dyDescent="0.35">
      <c r="A25" s="640"/>
      <c r="B25" s="641"/>
      <c r="C25" s="237">
        <v>5</v>
      </c>
      <c r="D25" s="238" t="s">
        <v>248</v>
      </c>
    </row>
    <row r="26" spans="1:4" x14ac:dyDescent="0.3">
      <c r="A26" s="642" t="s">
        <v>102</v>
      </c>
      <c r="B26" s="643"/>
      <c r="C26" s="235">
        <v>2</v>
      </c>
      <c r="D26" s="144" t="s">
        <v>434</v>
      </c>
    </row>
    <row r="27" spans="1:4" x14ac:dyDescent="0.3">
      <c r="A27" s="644"/>
      <c r="B27" s="645"/>
      <c r="C27" s="234">
        <v>2</v>
      </c>
      <c r="D27" s="139" t="s">
        <v>435</v>
      </c>
    </row>
    <row r="28" spans="1:4" x14ac:dyDescent="0.3">
      <c r="A28" s="644"/>
      <c r="B28" s="645"/>
      <c r="C28" s="234">
        <v>2</v>
      </c>
      <c r="D28" s="139" t="s">
        <v>436</v>
      </c>
    </row>
    <row r="29" spans="1:4" x14ac:dyDescent="0.3">
      <c r="A29" s="644"/>
      <c r="B29" s="645"/>
      <c r="C29" s="236">
        <v>1</v>
      </c>
      <c r="D29" s="139" t="s">
        <v>437</v>
      </c>
    </row>
    <row r="30" spans="1:4" ht="15" thickBot="1" x14ac:dyDescent="0.35">
      <c r="A30" s="644"/>
      <c r="B30" s="645"/>
      <c r="C30" s="239">
        <v>1</v>
      </c>
      <c r="D30" s="227" t="s">
        <v>109</v>
      </c>
    </row>
    <row r="31" spans="1:4" x14ac:dyDescent="0.3">
      <c r="A31" s="625" t="s">
        <v>100</v>
      </c>
      <c r="B31" s="626"/>
      <c r="C31" s="142">
        <v>1</v>
      </c>
      <c r="D31" s="145" t="s">
        <v>111</v>
      </c>
    </row>
    <row r="32" spans="1:4" x14ac:dyDescent="0.3">
      <c r="A32" s="627"/>
      <c r="B32" s="628"/>
      <c r="C32" s="478">
        <v>1</v>
      </c>
      <c r="D32" s="479" t="s">
        <v>110</v>
      </c>
    </row>
    <row r="33" spans="1:28" ht="15" thickBot="1" x14ac:dyDescent="0.35">
      <c r="A33" s="637"/>
      <c r="B33" s="638"/>
      <c r="C33" s="480">
        <v>1</v>
      </c>
      <c r="D33" s="146" t="s">
        <v>404</v>
      </c>
    </row>
    <row r="34" spans="1:28" ht="15" thickBot="1" x14ac:dyDescent="0.35"/>
    <row r="35" spans="1:28" s="537" customFormat="1" ht="26.4" thickBot="1" x14ac:dyDescent="0.55000000000000004">
      <c r="A35" s="723" t="s">
        <v>70</v>
      </c>
      <c r="B35" s="724"/>
      <c r="C35" s="724"/>
      <c r="D35" s="724"/>
      <c r="E35" s="724"/>
      <c r="F35" s="724"/>
      <c r="G35" s="724"/>
      <c r="H35" s="724"/>
      <c r="I35" s="724"/>
      <c r="J35" s="724"/>
      <c r="K35" s="724"/>
      <c r="L35" s="724"/>
      <c r="M35" s="724"/>
      <c r="N35" s="724"/>
      <c r="O35" s="724"/>
      <c r="P35" s="724"/>
      <c r="Q35" s="724"/>
      <c r="R35" s="724"/>
      <c r="S35" s="724"/>
      <c r="T35" s="724"/>
      <c r="U35" s="724"/>
      <c r="V35" s="724"/>
      <c r="W35" s="724"/>
      <c r="X35" s="724"/>
      <c r="Y35" s="724"/>
      <c r="Z35" s="724"/>
      <c r="AA35" s="724"/>
      <c r="AB35" s="725"/>
    </row>
    <row r="36" spans="1:28" x14ac:dyDescent="0.3">
      <c r="A36" s="726" t="s">
        <v>10</v>
      </c>
      <c r="B36" s="726" t="s">
        <v>11</v>
      </c>
      <c r="C36" s="729" t="s">
        <v>57</v>
      </c>
      <c r="D36" s="730"/>
      <c r="E36" s="674" t="s">
        <v>28</v>
      </c>
      <c r="F36" s="675"/>
      <c r="G36" s="674" t="s">
        <v>29</v>
      </c>
      <c r="H36" s="675"/>
      <c r="I36" s="674" t="s">
        <v>30</v>
      </c>
      <c r="J36" s="675"/>
      <c r="K36" s="674" t="s">
        <v>31</v>
      </c>
      <c r="L36" s="675"/>
      <c r="M36" s="674" t="s">
        <v>32</v>
      </c>
      <c r="N36" s="675"/>
      <c r="O36" s="674" t="s">
        <v>33</v>
      </c>
      <c r="P36" s="675"/>
      <c r="Q36" s="674" t="s">
        <v>34</v>
      </c>
      <c r="R36" s="675"/>
      <c r="S36" s="674" t="s">
        <v>35</v>
      </c>
      <c r="T36" s="675"/>
      <c r="U36" s="674" t="s">
        <v>36</v>
      </c>
      <c r="V36" s="675"/>
      <c r="W36" s="674" t="s">
        <v>37</v>
      </c>
      <c r="X36" s="675"/>
      <c r="Y36" s="674" t="s">
        <v>38</v>
      </c>
      <c r="Z36" s="675"/>
      <c r="AA36" s="674" t="s">
        <v>39</v>
      </c>
      <c r="AB36" s="675"/>
    </row>
    <row r="37" spans="1:28" x14ac:dyDescent="0.3">
      <c r="A37" s="727"/>
      <c r="B37" s="727"/>
      <c r="C37" s="731" t="s">
        <v>42</v>
      </c>
      <c r="D37" s="733" t="s">
        <v>58</v>
      </c>
      <c r="E37" s="735">
        <v>0.08</v>
      </c>
      <c r="F37" s="736"/>
      <c r="G37" s="735">
        <v>0.08</v>
      </c>
      <c r="H37" s="736"/>
      <c r="I37" s="735">
        <v>0.08</v>
      </c>
      <c r="J37" s="736"/>
      <c r="K37" s="735">
        <v>0.08</v>
      </c>
      <c r="L37" s="736"/>
      <c r="M37" s="735">
        <v>0.08</v>
      </c>
      <c r="N37" s="736"/>
      <c r="O37" s="735">
        <v>0.08</v>
      </c>
      <c r="P37" s="736"/>
      <c r="Q37" s="735">
        <v>0.08</v>
      </c>
      <c r="R37" s="736"/>
      <c r="S37" s="735">
        <v>0.08</v>
      </c>
      <c r="T37" s="736"/>
      <c r="U37" s="735">
        <v>0.08</v>
      </c>
      <c r="V37" s="736"/>
      <c r="W37" s="735">
        <v>0.08</v>
      </c>
      <c r="X37" s="736"/>
      <c r="Y37" s="735">
        <v>0.1</v>
      </c>
      <c r="Z37" s="736"/>
      <c r="AA37" s="735">
        <v>0.1</v>
      </c>
      <c r="AB37" s="736"/>
    </row>
    <row r="38" spans="1:28" ht="15" thickBot="1" x14ac:dyDescent="0.35">
      <c r="A38" s="728"/>
      <c r="B38" s="728"/>
      <c r="C38" s="732"/>
      <c r="D38" s="734"/>
      <c r="E38" s="28" t="s">
        <v>42</v>
      </c>
      <c r="F38" s="29" t="s">
        <v>58</v>
      </c>
      <c r="G38" s="28" t="s">
        <v>42</v>
      </c>
      <c r="H38" s="29" t="s">
        <v>58</v>
      </c>
      <c r="I38" s="28" t="s">
        <v>42</v>
      </c>
      <c r="J38" s="29" t="s">
        <v>58</v>
      </c>
      <c r="K38" s="28" t="s">
        <v>42</v>
      </c>
      <c r="L38" s="29" t="s">
        <v>58</v>
      </c>
      <c r="M38" s="28" t="s">
        <v>42</v>
      </c>
      <c r="N38" s="29" t="s">
        <v>58</v>
      </c>
      <c r="O38" s="28" t="s">
        <v>42</v>
      </c>
      <c r="P38" s="29" t="s">
        <v>58</v>
      </c>
      <c r="Q38" s="28" t="s">
        <v>42</v>
      </c>
      <c r="R38" s="29" t="s">
        <v>58</v>
      </c>
      <c r="S38" s="28" t="s">
        <v>42</v>
      </c>
      <c r="T38" s="29" t="s">
        <v>58</v>
      </c>
      <c r="U38" s="28" t="s">
        <v>42</v>
      </c>
      <c r="V38" s="29" t="s">
        <v>58</v>
      </c>
      <c r="W38" s="28" t="s">
        <v>42</v>
      </c>
      <c r="X38" s="29" t="s">
        <v>58</v>
      </c>
      <c r="Y38" s="28" t="s">
        <v>42</v>
      </c>
      <c r="Z38" s="29" t="s">
        <v>58</v>
      </c>
      <c r="AA38" s="28" t="s">
        <v>42</v>
      </c>
      <c r="AB38" s="29" t="s">
        <v>58</v>
      </c>
    </row>
    <row r="39" spans="1:28" ht="15.6" x14ac:dyDescent="0.3">
      <c r="A39" s="40" t="str">
        <f>Hipótesis!F30</f>
        <v xml:space="preserve">Liviana </v>
      </c>
      <c r="B39" s="30"/>
      <c r="C39" s="31"/>
      <c r="D39" s="32"/>
      <c r="E39" s="33"/>
      <c r="F39" s="32"/>
      <c r="G39" s="33"/>
      <c r="H39" s="32"/>
      <c r="I39" s="33"/>
      <c r="J39" s="32"/>
      <c r="K39" s="33"/>
      <c r="L39" s="32"/>
      <c r="M39" s="33"/>
      <c r="N39" s="32"/>
      <c r="O39" s="33"/>
      <c r="P39" s="32"/>
      <c r="Q39" s="33"/>
      <c r="R39" s="32"/>
      <c r="S39" s="33"/>
      <c r="T39" s="32"/>
      <c r="U39" s="33"/>
      <c r="V39" s="32"/>
      <c r="W39" s="33"/>
      <c r="X39" s="32"/>
      <c r="Y39" s="33"/>
      <c r="Z39" s="34"/>
      <c r="AA39" s="33"/>
      <c r="AB39" s="32"/>
    </row>
    <row r="40" spans="1:28" ht="15.6" x14ac:dyDescent="0.3">
      <c r="A40" s="35" t="str">
        <f>Hipótesis!B30</f>
        <v>Dada</v>
      </c>
      <c r="B40" s="36">
        <f>Hipótesis!C30</f>
        <v>23850</v>
      </c>
      <c r="C40" s="37">
        <v>500</v>
      </c>
      <c r="D40" s="38">
        <f>B40*C40</f>
        <v>11925000</v>
      </c>
      <c r="E40" s="39">
        <f>C40*$E$37</f>
        <v>40</v>
      </c>
      <c r="F40" s="38">
        <f>D40*E37</f>
        <v>954000</v>
      </c>
      <c r="G40" s="39">
        <f>C40*$G$37</f>
        <v>40</v>
      </c>
      <c r="H40" s="38">
        <f>D40*G37</f>
        <v>954000</v>
      </c>
      <c r="I40" s="39">
        <f t="shared" ref="I40:J41" si="0">C40*$I$37</f>
        <v>40</v>
      </c>
      <c r="J40" s="38">
        <f t="shared" si="0"/>
        <v>954000</v>
      </c>
      <c r="K40" s="39">
        <f t="shared" ref="K40:L41" si="1">C40*$K$37</f>
        <v>40</v>
      </c>
      <c r="L40" s="38">
        <f t="shared" si="1"/>
        <v>954000</v>
      </c>
      <c r="M40" s="39">
        <f t="shared" ref="M40:N41" si="2">C40*$M$37</f>
        <v>40</v>
      </c>
      <c r="N40" s="38">
        <f t="shared" si="2"/>
        <v>954000</v>
      </c>
      <c r="O40" s="39">
        <f t="shared" ref="O40:P41" si="3">C40*$O$37</f>
        <v>40</v>
      </c>
      <c r="P40" s="38">
        <f t="shared" si="3"/>
        <v>954000</v>
      </c>
      <c r="Q40" s="39">
        <f t="shared" ref="Q40:R41" si="4">C40*$Q$37</f>
        <v>40</v>
      </c>
      <c r="R40" s="38">
        <f t="shared" si="4"/>
        <v>954000</v>
      </c>
      <c r="S40" s="39">
        <f t="shared" ref="S40:T41" si="5">C40*$S$37</f>
        <v>40</v>
      </c>
      <c r="T40" s="38">
        <f t="shared" si="5"/>
        <v>954000</v>
      </c>
      <c r="U40" s="39">
        <f t="shared" ref="U40:V41" si="6">C40*$U$37</f>
        <v>40</v>
      </c>
      <c r="V40" s="38">
        <f t="shared" si="6"/>
        <v>954000</v>
      </c>
      <c r="W40" s="39">
        <f t="shared" ref="W40:X41" si="7">C40*$W$37</f>
        <v>40</v>
      </c>
      <c r="X40" s="38">
        <f t="shared" si="7"/>
        <v>954000</v>
      </c>
      <c r="Y40" s="39">
        <f t="shared" ref="Y40:Z41" si="8">C40*$Y$37</f>
        <v>50</v>
      </c>
      <c r="Z40" s="38">
        <f t="shared" si="8"/>
        <v>1192500</v>
      </c>
      <c r="AA40" s="39">
        <f t="shared" ref="AA40:AB41" si="9">C40*$AA$37</f>
        <v>50</v>
      </c>
      <c r="AB40" s="38">
        <f t="shared" si="9"/>
        <v>1192500</v>
      </c>
    </row>
    <row r="41" spans="1:28" ht="16.2" thickBot="1" x14ac:dyDescent="0.35">
      <c r="A41" s="35" t="str">
        <f>Hipótesis!B31</f>
        <v>Gretel</v>
      </c>
      <c r="B41" s="36">
        <f>Hipótesis!C31</f>
        <v>25000</v>
      </c>
      <c r="C41" s="37">
        <v>400</v>
      </c>
      <c r="D41" s="38">
        <f t="shared" ref="D41:D45" si="10">B41*C41</f>
        <v>10000000</v>
      </c>
      <c r="E41" s="39">
        <f>C41*$E$37</f>
        <v>32</v>
      </c>
      <c r="F41" s="38">
        <f>D41*E37</f>
        <v>800000</v>
      </c>
      <c r="G41" s="39">
        <f>C41*$G$37</f>
        <v>32</v>
      </c>
      <c r="H41" s="38">
        <f>D41*$G$37</f>
        <v>800000</v>
      </c>
      <c r="I41" s="39">
        <f t="shared" si="0"/>
        <v>32</v>
      </c>
      <c r="J41" s="38">
        <f t="shared" si="0"/>
        <v>800000</v>
      </c>
      <c r="K41" s="39">
        <f t="shared" si="1"/>
        <v>32</v>
      </c>
      <c r="L41" s="38">
        <f t="shared" si="1"/>
        <v>800000</v>
      </c>
      <c r="M41" s="39">
        <f t="shared" si="2"/>
        <v>32</v>
      </c>
      <c r="N41" s="38">
        <f t="shared" si="2"/>
        <v>800000</v>
      </c>
      <c r="O41" s="39">
        <f t="shared" si="3"/>
        <v>32</v>
      </c>
      <c r="P41" s="38">
        <f t="shared" si="3"/>
        <v>800000</v>
      </c>
      <c r="Q41" s="39">
        <f t="shared" si="4"/>
        <v>32</v>
      </c>
      <c r="R41" s="38">
        <f t="shared" si="4"/>
        <v>800000</v>
      </c>
      <c r="S41" s="39">
        <f t="shared" si="5"/>
        <v>32</v>
      </c>
      <c r="T41" s="38">
        <f t="shared" si="5"/>
        <v>800000</v>
      </c>
      <c r="U41" s="39">
        <f t="shared" si="6"/>
        <v>32</v>
      </c>
      <c r="V41" s="38">
        <f t="shared" si="6"/>
        <v>800000</v>
      </c>
      <c r="W41" s="39">
        <f t="shared" si="7"/>
        <v>32</v>
      </c>
      <c r="X41" s="38">
        <f t="shared" si="7"/>
        <v>800000</v>
      </c>
      <c r="Y41" s="39">
        <f t="shared" si="8"/>
        <v>40</v>
      </c>
      <c r="Z41" s="38">
        <f t="shared" si="8"/>
        <v>1000000</v>
      </c>
      <c r="AA41" s="39">
        <f t="shared" si="9"/>
        <v>40</v>
      </c>
      <c r="AB41" s="38">
        <f t="shared" si="9"/>
        <v>1000000</v>
      </c>
    </row>
    <row r="42" spans="1:28" ht="15.6" x14ac:dyDescent="0.3">
      <c r="A42" s="41" t="str">
        <f>Hipótesis!G30</f>
        <v>Creativa</v>
      </c>
      <c r="B42" s="30"/>
      <c r="C42" s="31"/>
      <c r="D42" s="32"/>
      <c r="E42" s="33"/>
      <c r="F42" s="32"/>
      <c r="G42" s="33"/>
      <c r="H42" s="32"/>
      <c r="I42" s="33"/>
      <c r="J42" s="32"/>
      <c r="K42" s="33"/>
      <c r="L42" s="32"/>
      <c r="M42" s="33"/>
      <c r="N42" s="32"/>
      <c r="O42" s="33"/>
      <c r="P42" s="32"/>
      <c r="Q42" s="33"/>
      <c r="R42" s="32"/>
      <c r="S42" s="33"/>
      <c r="T42" s="32"/>
      <c r="U42" s="33"/>
      <c r="V42" s="32"/>
      <c r="W42" s="33"/>
      <c r="X42" s="32"/>
      <c r="Y42" s="33"/>
      <c r="Z42" s="34"/>
      <c r="AA42" s="33"/>
      <c r="AB42" s="32"/>
    </row>
    <row r="43" spans="1:28" ht="16.2" thickBot="1" x14ac:dyDescent="0.35">
      <c r="A43" s="42" t="str">
        <f>Hipótesis!B32</f>
        <v>Monkey</v>
      </c>
      <c r="B43" s="43">
        <f>Hipótesis!C32</f>
        <v>28450</v>
      </c>
      <c r="C43" s="44">
        <v>300</v>
      </c>
      <c r="D43" s="45">
        <f t="shared" si="10"/>
        <v>8535000</v>
      </c>
      <c r="E43" s="46">
        <f>C43*$E$37</f>
        <v>24</v>
      </c>
      <c r="F43" s="45">
        <f>D43*$E$37</f>
        <v>682800</v>
      </c>
      <c r="G43" s="46">
        <f>C43*$G$37</f>
        <v>24</v>
      </c>
      <c r="H43" s="45">
        <f>D43*$G$37</f>
        <v>682800</v>
      </c>
      <c r="I43" s="46">
        <f>C43*$I$37</f>
        <v>24</v>
      </c>
      <c r="J43" s="45">
        <f>D43*I37</f>
        <v>682800</v>
      </c>
      <c r="K43" s="46">
        <f>C43*$K$37</f>
        <v>24</v>
      </c>
      <c r="L43" s="45">
        <f>D43*$K$37</f>
        <v>682800</v>
      </c>
      <c r="M43" s="46">
        <f>C43*$M$37</f>
        <v>24</v>
      </c>
      <c r="N43" s="45">
        <f>D43*$M$37</f>
        <v>682800</v>
      </c>
      <c r="O43" s="46">
        <f>C43*$O$37</f>
        <v>24</v>
      </c>
      <c r="P43" s="45">
        <f>D43*$O$37</f>
        <v>682800</v>
      </c>
      <c r="Q43" s="46">
        <f>C43*$Q$37</f>
        <v>24</v>
      </c>
      <c r="R43" s="45">
        <f>D43*$Q$37</f>
        <v>682800</v>
      </c>
      <c r="S43" s="46">
        <f>C43*$S$37</f>
        <v>24</v>
      </c>
      <c r="T43" s="45">
        <f>D43*$S$37</f>
        <v>682800</v>
      </c>
      <c r="U43" s="46">
        <f>C43*$U$37</f>
        <v>24</v>
      </c>
      <c r="V43" s="45">
        <f>D43*$U$37</f>
        <v>682800</v>
      </c>
      <c r="W43" s="46">
        <f>C43*$W$37</f>
        <v>24</v>
      </c>
      <c r="X43" s="45">
        <f>D43*$W$37</f>
        <v>682800</v>
      </c>
      <c r="Y43" s="46">
        <f>C43*$Y$37</f>
        <v>30</v>
      </c>
      <c r="Z43" s="47">
        <f>D43*$Y$37</f>
        <v>853500</v>
      </c>
      <c r="AA43" s="46">
        <f>C43*$AA$37</f>
        <v>30</v>
      </c>
      <c r="AB43" s="45">
        <f>D43*$AA$37</f>
        <v>853500</v>
      </c>
    </row>
    <row r="44" spans="1:28" ht="15.6" x14ac:dyDescent="0.3">
      <c r="A44" s="48" t="str">
        <f>Hipótesis!H30</f>
        <v>Exclusiva</v>
      </c>
      <c r="B44" s="30"/>
      <c r="C44" s="31"/>
      <c r="D44" s="32"/>
      <c r="E44" s="33"/>
      <c r="F44" s="32"/>
      <c r="G44" s="33"/>
      <c r="H44" s="32"/>
      <c r="I44" s="33"/>
      <c r="J44" s="32"/>
      <c r="K44" s="33"/>
      <c r="L44" s="32"/>
      <c r="M44" s="33"/>
      <c r="N44" s="32"/>
      <c r="O44" s="33"/>
      <c r="P44" s="32"/>
      <c r="Q44" s="33"/>
      <c r="R44" s="32"/>
      <c r="S44" s="33"/>
      <c r="T44" s="32"/>
      <c r="U44" s="33"/>
      <c r="V44" s="32"/>
      <c r="W44" s="33"/>
      <c r="X44" s="32"/>
      <c r="Y44" s="33"/>
      <c r="Z44" s="34"/>
      <c r="AA44" s="33"/>
      <c r="AB44" s="32"/>
    </row>
    <row r="45" spans="1:28" ht="16.2" thickBot="1" x14ac:dyDescent="0.35">
      <c r="A45" s="49" t="str">
        <f>Hipótesis!B33</f>
        <v>Personalizada</v>
      </c>
      <c r="B45" s="50">
        <f>Hipótesis!C33</f>
        <v>33700</v>
      </c>
      <c r="C45" s="51">
        <v>200</v>
      </c>
      <c r="D45" s="52">
        <f t="shared" si="10"/>
        <v>6740000</v>
      </c>
      <c r="E45" s="53">
        <f>C45*$E$37</f>
        <v>16</v>
      </c>
      <c r="F45" s="52">
        <f>D45*$E$37</f>
        <v>539200</v>
      </c>
      <c r="G45" s="53">
        <f>C45*$G$37</f>
        <v>16</v>
      </c>
      <c r="H45" s="52">
        <f>D45*$G$37</f>
        <v>539200</v>
      </c>
      <c r="I45" s="53">
        <f>C45*$I$37</f>
        <v>16</v>
      </c>
      <c r="J45" s="52">
        <f>D45*$I$37</f>
        <v>539200</v>
      </c>
      <c r="K45" s="53">
        <f>C45*$K$37</f>
        <v>16</v>
      </c>
      <c r="L45" s="52">
        <f>D45*$K$37</f>
        <v>539200</v>
      </c>
      <c r="M45" s="53">
        <f>C45*$M$37</f>
        <v>16</v>
      </c>
      <c r="N45" s="52">
        <f>D45*$M$37</f>
        <v>539200</v>
      </c>
      <c r="O45" s="53">
        <f>C45*$O$37</f>
        <v>16</v>
      </c>
      <c r="P45" s="52">
        <f>D45*$O$37</f>
        <v>539200</v>
      </c>
      <c r="Q45" s="53">
        <f>C45*$Q$37</f>
        <v>16</v>
      </c>
      <c r="R45" s="52">
        <f>D45*$Q$37</f>
        <v>539200</v>
      </c>
      <c r="S45" s="53">
        <f>C45*$S$37</f>
        <v>16</v>
      </c>
      <c r="T45" s="52">
        <f>D45*$S$37</f>
        <v>539200</v>
      </c>
      <c r="U45" s="53">
        <f>C45*$U$37</f>
        <v>16</v>
      </c>
      <c r="V45" s="52">
        <f>D45*$U$37</f>
        <v>539200</v>
      </c>
      <c r="W45" s="53">
        <f>C45*$W$37</f>
        <v>16</v>
      </c>
      <c r="X45" s="52">
        <f>D45*$W$37</f>
        <v>539200</v>
      </c>
      <c r="Y45" s="53">
        <f>C45*$Y$37</f>
        <v>20</v>
      </c>
      <c r="Z45" s="54">
        <f>D45*$Y$37</f>
        <v>674000</v>
      </c>
      <c r="AA45" s="53">
        <f>C45*$AA$37</f>
        <v>20</v>
      </c>
      <c r="AB45" s="52">
        <f>D45*$AA$37</f>
        <v>674000</v>
      </c>
    </row>
    <row r="46" spans="1:28" ht="16.2" thickBot="1" x14ac:dyDescent="0.35">
      <c r="A46" s="737" t="s">
        <v>59</v>
      </c>
      <c r="B46" s="738"/>
      <c r="C46" s="26"/>
      <c r="D46" s="56">
        <f>SUM(D39:D45)</f>
        <v>37200000</v>
      </c>
      <c r="E46" s="27"/>
      <c r="F46" s="55">
        <f>SUM(F39:F45)</f>
        <v>2976000</v>
      </c>
      <c r="G46" s="27"/>
      <c r="H46" s="55">
        <f>SUM(H39:H45)</f>
        <v>2976000</v>
      </c>
      <c r="I46" s="27"/>
      <c r="J46" s="55">
        <f>SUM(J39:J45)</f>
        <v>2976000</v>
      </c>
      <c r="K46" s="27"/>
      <c r="L46" s="55">
        <f>SUM(L39:L45)</f>
        <v>2976000</v>
      </c>
      <c r="M46" s="27"/>
      <c r="N46" s="55">
        <f>SUM(N39:N45)</f>
        <v>2976000</v>
      </c>
      <c r="O46" s="27"/>
      <c r="P46" s="55">
        <f>SUM(P39:P45)</f>
        <v>2976000</v>
      </c>
      <c r="Q46" s="27"/>
      <c r="R46" s="55">
        <f>SUM(R39:R45)</f>
        <v>2976000</v>
      </c>
      <c r="S46" s="27"/>
      <c r="T46" s="55">
        <f>SUM(T39:T45)</f>
        <v>2976000</v>
      </c>
      <c r="U46" s="27"/>
      <c r="V46" s="55">
        <f>SUM(V39:V45)</f>
        <v>2976000</v>
      </c>
      <c r="W46" s="27"/>
      <c r="X46" s="55">
        <f>SUM(X39:X45)</f>
        <v>2976000</v>
      </c>
      <c r="Y46" s="27"/>
      <c r="Z46" s="55">
        <f>SUM(Z39:Z45)</f>
        <v>3720000</v>
      </c>
      <c r="AA46" s="27"/>
      <c r="AB46" s="55">
        <f>SUM(AB39:AB45)</f>
        <v>3720000</v>
      </c>
    </row>
    <row r="47" spans="1:28" ht="16.2" thickBot="1" x14ac:dyDescent="0.35">
      <c r="A47" s="739" t="s">
        <v>60</v>
      </c>
      <c r="B47" s="740"/>
      <c r="C47" s="58">
        <f>SUM(C40:C41)</f>
        <v>900</v>
      </c>
      <c r="D47" s="59"/>
      <c r="E47" s="58">
        <f>SUM(E40:E41)</f>
        <v>72</v>
      </c>
      <c r="F47" s="59"/>
      <c r="G47" s="58">
        <f>SUM(G40:G41)</f>
        <v>72</v>
      </c>
      <c r="H47" s="59"/>
      <c r="I47" s="58">
        <f>SUM(I40:I41)</f>
        <v>72</v>
      </c>
      <c r="J47" s="59"/>
      <c r="K47" s="58">
        <f>SUM(K40:K41)</f>
        <v>72</v>
      </c>
      <c r="L47" s="59"/>
      <c r="M47" s="58">
        <f>SUM(M40:M41)</f>
        <v>72</v>
      </c>
      <c r="N47" s="59"/>
      <c r="O47" s="58">
        <f>SUM(O40:O41)</f>
        <v>72</v>
      </c>
      <c r="P47" s="59"/>
      <c r="Q47" s="58">
        <f>SUM(Q40:Q41)</f>
        <v>72</v>
      </c>
      <c r="R47" s="59"/>
      <c r="S47" s="58">
        <f>SUM(S40:S41)</f>
        <v>72</v>
      </c>
      <c r="T47" s="59"/>
      <c r="U47" s="58">
        <f>SUM(U40:U41)</f>
        <v>72</v>
      </c>
      <c r="V47" s="59"/>
      <c r="W47" s="58">
        <f>SUM(W40:W41)</f>
        <v>72</v>
      </c>
      <c r="X47" s="59"/>
      <c r="Y47" s="58">
        <f>SUM(Y40:Y41)</f>
        <v>90</v>
      </c>
      <c r="Z47" s="59"/>
      <c r="AA47" s="58">
        <f>SUM(AA40:AA41)</f>
        <v>90</v>
      </c>
      <c r="AB47" s="59"/>
    </row>
    <row r="48" spans="1:28" ht="16.2" thickBot="1" x14ac:dyDescent="0.35">
      <c r="A48" s="741" t="s">
        <v>430</v>
      </c>
      <c r="B48" s="742"/>
      <c r="C48" s="60">
        <f>C43</f>
        <v>300</v>
      </c>
      <c r="D48" s="59"/>
      <c r="E48" s="60">
        <f>E43</f>
        <v>24</v>
      </c>
      <c r="F48" s="59"/>
      <c r="G48" s="60">
        <f>G43</f>
        <v>24</v>
      </c>
      <c r="H48" s="59"/>
      <c r="I48" s="60">
        <f>I43</f>
        <v>24</v>
      </c>
      <c r="J48" s="59"/>
      <c r="K48" s="60">
        <f>K43</f>
        <v>24</v>
      </c>
      <c r="L48" s="59"/>
      <c r="M48" s="60">
        <f>M43</f>
        <v>24</v>
      </c>
      <c r="N48" s="59"/>
      <c r="O48" s="60">
        <f>O43</f>
        <v>24</v>
      </c>
      <c r="P48" s="59"/>
      <c r="Q48" s="60">
        <f>Q43</f>
        <v>24</v>
      </c>
      <c r="R48" s="59"/>
      <c r="S48" s="60">
        <f>S43</f>
        <v>24</v>
      </c>
      <c r="T48" s="59"/>
      <c r="U48" s="60">
        <f>U43</f>
        <v>24</v>
      </c>
      <c r="V48" s="59"/>
      <c r="W48" s="60">
        <f>W43</f>
        <v>24</v>
      </c>
      <c r="X48" s="59"/>
      <c r="Y48" s="60">
        <f>Y43</f>
        <v>30</v>
      </c>
      <c r="Z48" s="59"/>
      <c r="AA48" s="60">
        <f>AA43</f>
        <v>30</v>
      </c>
      <c r="AB48" s="59"/>
    </row>
    <row r="49" spans="1:28" ht="16.2" thickBot="1" x14ac:dyDescent="0.35">
      <c r="A49" s="743" t="s">
        <v>22</v>
      </c>
      <c r="B49" s="744"/>
      <c r="C49" s="57">
        <f>C45</f>
        <v>200</v>
      </c>
      <c r="D49" s="59"/>
      <c r="E49" s="57">
        <f>E45</f>
        <v>16</v>
      </c>
      <c r="F49" s="59"/>
      <c r="G49" s="57">
        <f>G45</f>
        <v>16</v>
      </c>
      <c r="H49" s="59"/>
      <c r="I49" s="57">
        <f>I45</f>
        <v>16</v>
      </c>
      <c r="J49" s="59"/>
      <c r="K49" s="57">
        <f>K45</f>
        <v>16</v>
      </c>
      <c r="L49" s="59"/>
      <c r="M49" s="57">
        <f>M45</f>
        <v>16</v>
      </c>
      <c r="N49" s="59"/>
      <c r="O49" s="57">
        <f>O45</f>
        <v>16</v>
      </c>
      <c r="P49" s="59"/>
      <c r="Q49" s="57">
        <f>Q45</f>
        <v>16</v>
      </c>
      <c r="R49" s="59"/>
      <c r="S49" s="57">
        <f>S45</f>
        <v>16</v>
      </c>
      <c r="T49" s="59"/>
      <c r="U49" s="57">
        <f>U45</f>
        <v>16</v>
      </c>
      <c r="V49" s="59"/>
      <c r="W49" s="57">
        <f>W45</f>
        <v>16</v>
      </c>
      <c r="X49" s="59"/>
      <c r="Y49" s="57">
        <f>Y45</f>
        <v>20</v>
      </c>
      <c r="Z49" s="59"/>
      <c r="AA49" s="57">
        <f>AA45</f>
        <v>20</v>
      </c>
      <c r="AB49" s="59"/>
    </row>
    <row r="50" spans="1:28" ht="16.2" thickBot="1" x14ac:dyDescent="0.35">
      <c r="A50" s="705" t="s">
        <v>189</v>
      </c>
      <c r="B50" s="706"/>
      <c r="C50" s="177">
        <f>SUM(C47:C49)</f>
        <v>1400</v>
      </c>
      <c r="D50" s="179"/>
      <c r="E50" s="177">
        <f>SUM(E47:E49)</f>
        <v>112</v>
      </c>
      <c r="F50" s="179"/>
      <c r="G50" s="177">
        <f>SUM(G47:G49)</f>
        <v>112</v>
      </c>
      <c r="H50" s="179"/>
      <c r="I50" s="177">
        <f>SUM(I47:I49)</f>
        <v>112</v>
      </c>
      <c r="J50" s="179"/>
      <c r="K50" s="177">
        <f>SUM(K47:K49)</f>
        <v>112</v>
      </c>
      <c r="L50" s="179"/>
      <c r="M50" s="177">
        <f>SUM(M47:M49)</f>
        <v>112</v>
      </c>
      <c r="N50" s="179"/>
      <c r="O50" s="177">
        <f>SUM(O47:O49)</f>
        <v>112</v>
      </c>
      <c r="P50" s="179"/>
      <c r="Q50" s="177">
        <f>SUM(Q47:Q49)</f>
        <v>112</v>
      </c>
      <c r="R50" s="179"/>
      <c r="S50" s="177">
        <f>SUM(S47:S49)</f>
        <v>112</v>
      </c>
      <c r="T50" s="179"/>
      <c r="U50" s="177">
        <f>SUM(U47:U49)</f>
        <v>112</v>
      </c>
      <c r="V50" s="179"/>
      <c r="W50" s="177">
        <f>SUM(W47:W49)</f>
        <v>112</v>
      </c>
      <c r="X50" s="179"/>
      <c r="Y50" s="177">
        <f>SUM(Y47:Y49)</f>
        <v>140</v>
      </c>
      <c r="Z50" s="179"/>
      <c r="AA50" s="177">
        <f>SUM(AA47:AA49)</f>
        <v>140</v>
      </c>
      <c r="AB50" s="179"/>
    </row>
    <row r="51" spans="1:28" ht="31.8" thickBot="1" x14ac:dyDescent="0.35">
      <c r="A51" s="180" t="s">
        <v>199</v>
      </c>
      <c r="B51" s="181">
        <f>SUM(F46+H46+J46+L46+N46+P46+R46+T46+V46+X46+Z46+AB46)</f>
        <v>37200000</v>
      </c>
      <c r="C51" s="182"/>
      <c r="D51" s="184"/>
      <c r="E51" s="183"/>
      <c r="F51" s="5"/>
      <c r="G51" s="5"/>
      <c r="H51" s="5"/>
      <c r="I51" s="5"/>
      <c r="J51" s="5"/>
      <c r="K51" s="5"/>
      <c r="L51" s="5"/>
      <c r="M51" s="5"/>
      <c r="N51" s="5"/>
      <c r="O51" s="5"/>
      <c r="P51" s="5"/>
      <c r="Q51" s="5"/>
      <c r="R51" s="5"/>
      <c r="S51" s="5"/>
      <c r="T51" s="5"/>
      <c r="U51" s="5"/>
      <c r="V51" s="5"/>
      <c r="W51" s="5"/>
      <c r="X51" s="5"/>
      <c r="Y51" s="5"/>
      <c r="Z51" s="5"/>
      <c r="AA51" s="5"/>
      <c r="AB51" s="5"/>
    </row>
    <row r="53" spans="1:28" ht="15" thickBot="1" x14ac:dyDescent="0.35"/>
    <row r="54" spans="1:28" ht="26.4" thickBot="1" x14ac:dyDescent="0.55000000000000004">
      <c r="A54" s="681" t="s">
        <v>159</v>
      </c>
      <c r="B54" s="682"/>
      <c r="C54" s="682"/>
      <c r="D54" s="682"/>
      <c r="E54" s="682"/>
      <c r="F54" s="682"/>
      <c r="G54" s="682"/>
      <c r="H54" s="682"/>
      <c r="I54" s="682"/>
      <c r="J54" s="682"/>
      <c r="K54" s="682"/>
      <c r="L54" s="682"/>
      <c r="M54" s="682"/>
      <c r="N54" s="682"/>
      <c r="O54" s="682"/>
      <c r="P54" s="682"/>
      <c r="Q54" s="682"/>
      <c r="R54" s="682"/>
      <c r="S54" s="682"/>
      <c r="T54" s="682"/>
      <c r="U54" s="682"/>
      <c r="V54" s="682"/>
      <c r="W54" s="682"/>
      <c r="X54" s="682"/>
      <c r="Y54" s="682"/>
      <c r="Z54" s="682"/>
      <c r="AA54" s="682"/>
      <c r="AB54" s="683"/>
    </row>
    <row r="55" spans="1:28" ht="28.5" customHeight="1" thickBot="1" x14ac:dyDescent="0.35">
      <c r="A55" s="547" t="s">
        <v>101</v>
      </c>
      <c r="B55" s="684" t="s">
        <v>203</v>
      </c>
      <c r="C55" s="685"/>
      <c r="D55" s="685"/>
      <c r="E55" s="685"/>
      <c r="F55" s="685"/>
      <c r="G55" s="685"/>
      <c r="H55" s="685"/>
      <c r="I55" s="685"/>
      <c r="J55" s="685"/>
      <c r="K55" s="685"/>
      <c r="L55" s="685"/>
      <c r="M55" s="685"/>
      <c r="N55" s="685"/>
      <c r="O55" s="685"/>
      <c r="P55" s="685"/>
      <c r="Q55" s="685"/>
      <c r="R55" s="685"/>
      <c r="S55" s="685"/>
      <c r="T55" s="685"/>
      <c r="U55" s="685"/>
      <c r="V55" s="685"/>
      <c r="W55" s="685"/>
      <c r="X55" s="685"/>
      <c r="Y55" s="685"/>
      <c r="Z55" s="685"/>
      <c r="AA55" s="685"/>
      <c r="AB55" s="686"/>
    </row>
    <row r="56" spans="1:28" ht="21.6" thickBot="1" x14ac:dyDescent="0.45">
      <c r="A56" s="687" t="s">
        <v>27</v>
      </c>
      <c r="B56" s="688"/>
      <c r="C56" s="691" t="s">
        <v>112</v>
      </c>
      <c r="D56" s="692"/>
      <c r="E56" s="693" t="s">
        <v>89</v>
      </c>
      <c r="F56" s="694"/>
      <c r="G56" s="694"/>
      <c r="H56" s="694"/>
      <c r="I56" s="694"/>
      <c r="J56" s="694"/>
      <c r="K56" s="694"/>
      <c r="L56" s="694"/>
      <c r="M56" s="694"/>
      <c r="N56" s="694"/>
      <c r="O56" s="694"/>
      <c r="P56" s="694"/>
      <c r="Q56" s="694"/>
      <c r="R56" s="694"/>
      <c r="S56" s="694"/>
      <c r="T56" s="694"/>
      <c r="U56" s="694"/>
      <c r="V56" s="694"/>
      <c r="W56" s="694"/>
      <c r="X56" s="694"/>
      <c r="Y56" s="694"/>
      <c r="Z56" s="694"/>
      <c r="AA56" s="694"/>
      <c r="AB56" s="695"/>
    </row>
    <row r="57" spans="1:28" ht="15" thickBot="1" x14ac:dyDescent="0.35">
      <c r="A57" s="689"/>
      <c r="B57" s="690"/>
      <c r="C57" s="696" t="s">
        <v>27</v>
      </c>
      <c r="D57" s="697"/>
      <c r="E57" s="698" t="s">
        <v>28</v>
      </c>
      <c r="F57" s="699"/>
      <c r="G57" s="698" t="s">
        <v>29</v>
      </c>
      <c r="H57" s="699"/>
      <c r="I57" s="698" t="s">
        <v>30</v>
      </c>
      <c r="J57" s="699"/>
      <c r="K57" s="698" t="s">
        <v>31</v>
      </c>
      <c r="L57" s="699"/>
      <c r="M57" s="698" t="s">
        <v>32</v>
      </c>
      <c r="N57" s="699"/>
      <c r="O57" s="698" t="s">
        <v>33</v>
      </c>
      <c r="P57" s="699"/>
      <c r="Q57" s="698" t="s">
        <v>34</v>
      </c>
      <c r="R57" s="699"/>
      <c r="S57" s="698" t="s">
        <v>35</v>
      </c>
      <c r="T57" s="699"/>
      <c r="U57" s="698" t="s">
        <v>36</v>
      </c>
      <c r="V57" s="699"/>
      <c r="W57" s="698" t="s">
        <v>37</v>
      </c>
      <c r="X57" s="699"/>
      <c r="Y57" s="698" t="s">
        <v>38</v>
      </c>
      <c r="Z57" s="699"/>
      <c r="AA57" s="698" t="s">
        <v>39</v>
      </c>
      <c r="AB57" s="699"/>
    </row>
    <row r="58" spans="1:28" ht="14.4" customHeight="1" x14ac:dyDescent="0.3">
      <c r="A58" s="625" t="s">
        <v>98</v>
      </c>
      <c r="B58" s="626"/>
      <c r="C58" s="680" t="s">
        <v>105</v>
      </c>
      <c r="D58" s="745"/>
      <c r="E58" s="716" t="s">
        <v>113</v>
      </c>
      <c r="F58" s="662"/>
      <c r="G58" s="717" t="s">
        <v>113</v>
      </c>
      <c r="H58" s="662"/>
      <c r="I58" s="717" t="s">
        <v>113</v>
      </c>
      <c r="J58" s="662"/>
      <c r="K58" s="717" t="s">
        <v>113</v>
      </c>
      <c r="L58" s="662"/>
      <c r="M58" s="717" t="s">
        <v>113</v>
      </c>
      <c r="N58" s="662"/>
      <c r="O58" s="717" t="s">
        <v>113</v>
      </c>
      <c r="P58" s="662"/>
      <c r="Q58" s="717" t="s">
        <v>113</v>
      </c>
      <c r="R58" s="662"/>
      <c r="S58" s="717" t="s">
        <v>113</v>
      </c>
      <c r="T58" s="662"/>
      <c r="U58" s="717" t="s">
        <v>113</v>
      </c>
      <c r="V58" s="662"/>
      <c r="W58" s="717" t="s">
        <v>113</v>
      </c>
      <c r="X58" s="662"/>
      <c r="Y58" s="717" t="s">
        <v>113</v>
      </c>
      <c r="Z58" s="662"/>
      <c r="AA58" s="717" t="s">
        <v>113</v>
      </c>
      <c r="AB58" s="718"/>
    </row>
    <row r="59" spans="1:28" ht="14.4" customHeight="1" x14ac:dyDescent="0.3">
      <c r="A59" s="627"/>
      <c r="B59" s="628"/>
      <c r="C59" s="655" t="s">
        <v>106</v>
      </c>
      <c r="D59" s="709"/>
      <c r="E59" s="710" t="s">
        <v>113</v>
      </c>
      <c r="F59" s="711"/>
      <c r="G59" s="707" t="s">
        <v>113</v>
      </c>
      <c r="H59" s="711"/>
      <c r="I59" s="707" t="s">
        <v>113</v>
      </c>
      <c r="J59" s="711"/>
      <c r="K59" s="707" t="s">
        <v>113</v>
      </c>
      <c r="L59" s="711"/>
      <c r="M59" s="707" t="s">
        <v>113</v>
      </c>
      <c r="N59" s="711"/>
      <c r="O59" s="707" t="s">
        <v>113</v>
      </c>
      <c r="P59" s="711"/>
      <c r="Q59" s="707" t="s">
        <v>113</v>
      </c>
      <c r="R59" s="711"/>
      <c r="S59" s="707" t="s">
        <v>113</v>
      </c>
      <c r="T59" s="711"/>
      <c r="U59" s="707" t="s">
        <v>113</v>
      </c>
      <c r="V59" s="711"/>
      <c r="W59" s="707" t="s">
        <v>113</v>
      </c>
      <c r="X59" s="711"/>
      <c r="Y59" s="707" t="s">
        <v>113</v>
      </c>
      <c r="Z59" s="711"/>
      <c r="AA59" s="707" t="s">
        <v>113</v>
      </c>
      <c r="AB59" s="708"/>
    </row>
    <row r="60" spans="1:28" ht="14.4" customHeight="1" x14ac:dyDescent="0.3">
      <c r="A60" s="627"/>
      <c r="B60" s="628"/>
      <c r="C60" s="655" t="s">
        <v>107</v>
      </c>
      <c r="D60" s="709"/>
      <c r="E60" s="710" t="s">
        <v>113</v>
      </c>
      <c r="F60" s="711"/>
      <c r="G60" s="707" t="s">
        <v>113</v>
      </c>
      <c r="H60" s="711"/>
      <c r="I60" s="707" t="s">
        <v>113</v>
      </c>
      <c r="J60" s="711"/>
      <c r="K60" s="707" t="s">
        <v>113</v>
      </c>
      <c r="L60" s="711"/>
      <c r="M60" s="707" t="s">
        <v>113</v>
      </c>
      <c r="N60" s="711"/>
      <c r="O60" s="707" t="s">
        <v>113</v>
      </c>
      <c r="P60" s="711"/>
      <c r="Q60" s="707" t="s">
        <v>113</v>
      </c>
      <c r="R60" s="711"/>
      <c r="S60" s="707" t="s">
        <v>113</v>
      </c>
      <c r="T60" s="711"/>
      <c r="U60" s="707" t="s">
        <v>113</v>
      </c>
      <c r="V60" s="711"/>
      <c r="W60" s="707" t="s">
        <v>113</v>
      </c>
      <c r="X60" s="711"/>
      <c r="Y60" s="707" t="s">
        <v>113</v>
      </c>
      <c r="Z60" s="711"/>
      <c r="AA60" s="707" t="s">
        <v>113</v>
      </c>
      <c r="AB60" s="708"/>
    </row>
    <row r="61" spans="1:28" ht="14.4" customHeight="1" x14ac:dyDescent="0.3">
      <c r="A61" s="627"/>
      <c r="B61" s="628"/>
      <c r="C61" s="655" t="s">
        <v>108</v>
      </c>
      <c r="D61" s="709"/>
      <c r="E61" s="710" t="s">
        <v>113</v>
      </c>
      <c r="F61" s="711"/>
      <c r="G61" s="707" t="s">
        <v>113</v>
      </c>
      <c r="H61" s="711"/>
      <c r="I61" s="707" t="s">
        <v>113</v>
      </c>
      <c r="J61" s="711"/>
      <c r="K61" s="707" t="s">
        <v>113</v>
      </c>
      <c r="L61" s="711"/>
      <c r="M61" s="707" t="s">
        <v>113</v>
      </c>
      <c r="N61" s="711"/>
      <c r="O61" s="707" t="s">
        <v>113</v>
      </c>
      <c r="P61" s="711"/>
      <c r="Q61" s="707" t="s">
        <v>113</v>
      </c>
      <c r="R61" s="711"/>
      <c r="S61" s="707" t="s">
        <v>113</v>
      </c>
      <c r="T61" s="711"/>
      <c r="U61" s="707" t="s">
        <v>113</v>
      </c>
      <c r="V61" s="711"/>
      <c r="W61" s="707" t="s">
        <v>113</v>
      </c>
      <c r="X61" s="711"/>
      <c r="Y61" s="707" t="s">
        <v>113</v>
      </c>
      <c r="Z61" s="711"/>
      <c r="AA61" s="707" t="s">
        <v>113</v>
      </c>
      <c r="AB61" s="708"/>
    </row>
    <row r="62" spans="1:28" ht="14.4" customHeight="1" x14ac:dyDescent="0.3">
      <c r="A62" s="627"/>
      <c r="B62" s="628"/>
      <c r="C62" s="655" t="s">
        <v>128</v>
      </c>
      <c r="D62" s="709"/>
      <c r="E62" s="710" t="s">
        <v>113</v>
      </c>
      <c r="F62" s="711"/>
      <c r="G62" s="707" t="s">
        <v>113</v>
      </c>
      <c r="H62" s="711"/>
      <c r="I62" s="707" t="s">
        <v>113</v>
      </c>
      <c r="J62" s="711"/>
      <c r="K62" s="707" t="s">
        <v>113</v>
      </c>
      <c r="L62" s="711"/>
      <c r="M62" s="700" t="s">
        <v>115</v>
      </c>
      <c r="N62" s="701"/>
      <c r="O62" s="707" t="s">
        <v>113</v>
      </c>
      <c r="P62" s="711"/>
      <c r="Q62" s="707" t="s">
        <v>113</v>
      </c>
      <c r="R62" s="711"/>
      <c r="S62" s="707" t="s">
        <v>113</v>
      </c>
      <c r="T62" s="711"/>
      <c r="U62" s="707" t="s">
        <v>113</v>
      </c>
      <c r="V62" s="711"/>
      <c r="W62" s="707" t="s">
        <v>113</v>
      </c>
      <c r="X62" s="711"/>
      <c r="Y62" s="707" t="s">
        <v>113</v>
      </c>
      <c r="Z62" s="711"/>
      <c r="AA62" s="707" t="s">
        <v>99</v>
      </c>
      <c r="AB62" s="708"/>
    </row>
    <row r="63" spans="1:28" ht="14.4" customHeight="1" x14ac:dyDescent="0.3">
      <c r="A63" s="627"/>
      <c r="B63" s="628"/>
      <c r="C63" s="655" t="s">
        <v>127</v>
      </c>
      <c r="D63" s="709"/>
      <c r="E63" s="710" t="s">
        <v>113</v>
      </c>
      <c r="F63" s="711"/>
      <c r="G63" s="707" t="s">
        <v>113</v>
      </c>
      <c r="H63" s="711"/>
      <c r="I63" s="707" t="s">
        <v>113</v>
      </c>
      <c r="J63" s="711"/>
      <c r="K63" s="707" t="s">
        <v>113</v>
      </c>
      <c r="L63" s="711"/>
      <c r="M63" s="707" t="s">
        <v>113</v>
      </c>
      <c r="N63" s="711"/>
      <c r="O63" s="707" t="s">
        <v>113</v>
      </c>
      <c r="P63" s="711"/>
      <c r="Q63" s="707" t="s">
        <v>113</v>
      </c>
      <c r="R63" s="711"/>
      <c r="S63" s="707" t="s">
        <v>113</v>
      </c>
      <c r="T63" s="711"/>
      <c r="U63" s="707" t="s">
        <v>113</v>
      </c>
      <c r="V63" s="711"/>
      <c r="W63" s="700" t="s">
        <v>116</v>
      </c>
      <c r="X63" s="701"/>
      <c r="Y63" s="707" t="s">
        <v>113</v>
      </c>
      <c r="Z63" s="711"/>
      <c r="AA63" s="707" t="s">
        <v>99</v>
      </c>
      <c r="AB63" s="708"/>
    </row>
    <row r="64" spans="1:28" ht="14.4" customHeight="1" x14ac:dyDescent="0.3">
      <c r="A64" s="627"/>
      <c r="B64" s="628"/>
      <c r="C64" s="655" t="s">
        <v>129</v>
      </c>
      <c r="D64" s="709"/>
      <c r="E64" s="710" t="s">
        <v>113</v>
      </c>
      <c r="F64" s="711"/>
      <c r="G64" s="707" t="s">
        <v>113</v>
      </c>
      <c r="H64" s="711"/>
      <c r="I64" s="707" t="s">
        <v>113</v>
      </c>
      <c r="J64" s="711"/>
      <c r="K64" s="707" t="s">
        <v>113</v>
      </c>
      <c r="L64" s="711"/>
      <c r="M64" s="700" t="s">
        <v>117</v>
      </c>
      <c r="N64" s="701"/>
      <c r="O64" s="707" t="s">
        <v>113</v>
      </c>
      <c r="P64" s="711"/>
      <c r="Q64" s="707" t="s">
        <v>113</v>
      </c>
      <c r="R64" s="711"/>
      <c r="S64" s="707" t="s">
        <v>113</v>
      </c>
      <c r="T64" s="711"/>
      <c r="U64" s="707" t="s">
        <v>113</v>
      </c>
      <c r="V64" s="711"/>
      <c r="W64" s="707" t="s">
        <v>113</v>
      </c>
      <c r="X64" s="711"/>
      <c r="Y64" s="707" t="s">
        <v>113</v>
      </c>
      <c r="Z64" s="711"/>
      <c r="AA64" s="707" t="s">
        <v>99</v>
      </c>
      <c r="AB64" s="708"/>
    </row>
    <row r="65" spans="1:28" ht="14.4" customHeight="1" x14ac:dyDescent="0.3">
      <c r="A65" s="627"/>
      <c r="B65" s="628"/>
      <c r="C65" s="655" t="s">
        <v>130</v>
      </c>
      <c r="D65" s="709"/>
      <c r="E65" s="710" t="s">
        <v>113</v>
      </c>
      <c r="F65" s="711"/>
      <c r="G65" s="707" t="s">
        <v>113</v>
      </c>
      <c r="H65" s="711"/>
      <c r="I65" s="707" t="s">
        <v>113</v>
      </c>
      <c r="J65" s="711"/>
      <c r="K65" s="707" t="s">
        <v>113</v>
      </c>
      <c r="L65" s="711"/>
      <c r="M65" s="707" t="s">
        <v>113</v>
      </c>
      <c r="N65" s="711"/>
      <c r="O65" s="707" t="s">
        <v>113</v>
      </c>
      <c r="P65" s="711"/>
      <c r="Q65" s="707" t="s">
        <v>113</v>
      </c>
      <c r="R65" s="711"/>
      <c r="S65" s="700" t="s">
        <v>118</v>
      </c>
      <c r="T65" s="701"/>
      <c r="U65" s="707" t="s">
        <v>113</v>
      </c>
      <c r="V65" s="711"/>
      <c r="W65" s="707" t="s">
        <v>113</v>
      </c>
      <c r="X65" s="711"/>
      <c r="Y65" s="707" t="s">
        <v>113</v>
      </c>
      <c r="Z65" s="711"/>
      <c r="AA65" s="707" t="s">
        <v>99</v>
      </c>
      <c r="AB65" s="708"/>
    </row>
    <row r="66" spans="1:28" ht="14.4" customHeight="1" x14ac:dyDescent="0.3">
      <c r="A66" s="627"/>
      <c r="B66" s="628"/>
      <c r="C66" s="655" t="s">
        <v>131</v>
      </c>
      <c r="D66" s="709"/>
      <c r="E66" s="710" t="s">
        <v>113</v>
      </c>
      <c r="F66" s="711"/>
      <c r="G66" s="707" t="s">
        <v>113</v>
      </c>
      <c r="H66" s="711"/>
      <c r="I66" s="707" t="s">
        <v>113</v>
      </c>
      <c r="J66" s="711"/>
      <c r="K66" s="707" t="s">
        <v>113</v>
      </c>
      <c r="L66" s="711"/>
      <c r="M66" s="707" t="s">
        <v>113</v>
      </c>
      <c r="N66" s="711"/>
      <c r="O66" s="707" t="s">
        <v>113</v>
      </c>
      <c r="P66" s="711"/>
      <c r="Q66" s="707" t="s">
        <v>113</v>
      </c>
      <c r="R66" s="711"/>
      <c r="S66" s="707" t="s">
        <v>113</v>
      </c>
      <c r="T66" s="711"/>
      <c r="U66" s="700" t="s">
        <v>119</v>
      </c>
      <c r="V66" s="701"/>
      <c r="W66" s="707" t="s">
        <v>113</v>
      </c>
      <c r="X66" s="711"/>
      <c r="Y66" s="707" t="s">
        <v>113</v>
      </c>
      <c r="Z66" s="711"/>
      <c r="AA66" s="707" t="s">
        <v>99</v>
      </c>
      <c r="AB66" s="708"/>
    </row>
    <row r="67" spans="1:28" ht="14.4" customHeight="1" x14ac:dyDescent="0.3">
      <c r="A67" s="627"/>
      <c r="B67" s="628"/>
      <c r="C67" s="655" t="s">
        <v>132</v>
      </c>
      <c r="D67" s="709"/>
      <c r="E67" s="712" t="s">
        <v>120</v>
      </c>
      <c r="F67" s="701"/>
      <c r="G67" s="707" t="s">
        <v>113</v>
      </c>
      <c r="H67" s="711"/>
      <c r="I67" s="707" t="s">
        <v>113</v>
      </c>
      <c r="J67" s="711"/>
      <c r="K67" s="707" t="s">
        <v>113</v>
      </c>
      <c r="L67" s="711"/>
      <c r="M67" s="707" t="s">
        <v>113</v>
      </c>
      <c r="N67" s="711"/>
      <c r="O67" s="707" t="s">
        <v>113</v>
      </c>
      <c r="P67" s="711"/>
      <c r="Q67" s="707" t="s">
        <v>113</v>
      </c>
      <c r="R67" s="711"/>
      <c r="S67" s="707" t="s">
        <v>113</v>
      </c>
      <c r="T67" s="711"/>
      <c r="U67" s="707" t="s">
        <v>113</v>
      </c>
      <c r="V67" s="711"/>
      <c r="W67" s="707" t="s">
        <v>113</v>
      </c>
      <c r="X67" s="711"/>
      <c r="Y67" s="707" t="s">
        <v>113</v>
      </c>
      <c r="Z67" s="711"/>
      <c r="AA67" s="707" t="s">
        <v>99</v>
      </c>
      <c r="AB67" s="708"/>
    </row>
    <row r="68" spans="1:28" ht="14.4" customHeight="1" x14ac:dyDescent="0.3">
      <c r="A68" s="627"/>
      <c r="B68" s="628"/>
      <c r="C68" s="655" t="s">
        <v>133</v>
      </c>
      <c r="D68" s="709"/>
      <c r="E68" s="710" t="s">
        <v>113</v>
      </c>
      <c r="F68" s="711"/>
      <c r="G68" s="707" t="s">
        <v>113</v>
      </c>
      <c r="H68" s="711"/>
      <c r="I68" s="700" t="s">
        <v>121</v>
      </c>
      <c r="J68" s="701"/>
      <c r="K68" s="707" t="s">
        <v>113</v>
      </c>
      <c r="L68" s="711"/>
      <c r="M68" s="707" t="s">
        <v>113</v>
      </c>
      <c r="N68" s="711"/>
      <c r="O68" s="707" t="s">
        <v>113</v>
      </c>
      <c r="P68" s="711"/>
      <c r="Q68" s="707" t="s">
        <v>113</v>
      </c>
      <c r="R68" s="711"/>
      <c r="S68" s="707" t="s">
        <v>113</v>
      </c>
      <c r="T68" s="711"/>
      <c r="U68" s="707" t="s">
        <v>113</v>
      </c>
      <c r="V68" s="711"/>
      <c r="W68" s="707" t="s">
        <v>113</v>
      </c>
      <c r="X68" s="711"/>
      <c r="Y68" s="707" t="s">
        <v>113</v>
      </c>
      <c r="Z68" s="711"/>
      <c r="AA68" s="707" t="s">
        <v>99</v>
      </c>
      <c r="AB68" s="708"/>
    </row>
    <row r="69" spans="1:28" ht="14.4" customHeight="1" x14ac:dyDescent="0.3">
      <c r="A69" s="627"/>
      <c r="B69" s="628"/>
      <c r="C69" s="655" t="s">
        <v>134</v>
      </c>
      <c r="D69" s="709"/>
      <c r="E69" s="710" t="s">
        <v>113</v>
      </c>
      <c r="F69" s="711"/>
      <c r="G69" s="707" t="s">
        <v>113</v>
      </c>
      <c r="H69" s="711"/>
      <c r="I69" s="707" t="s">
        <v>113</v>
      </c>
      <c r="J69" s="711"/>
      <c r="K69" s="707" t="s">
        <v>113</v>
      </c>
      <c r="L69" s="711"/>
      <c r="M69" s="707" t="s">
        <v>113</v>
      </c>
      <c r="N69" s="711"/>
      <c r="O69" s="700" t="s">
        <v>122</v>
      </c>
      <c r="P69" s="701"/>
      <c r="Q69" s="707" t="s">
        <v>113</v>
      </c>
      <c r="R69" s="711"/>
      <c r="S69" s="707" t="s">
        <v>113</v>
      </c>
      <c r="T69" s="711"/>
      <c r="U69" s="707" t="s">
        <v>113</v>
      </c>
      <c r="V69" s="711"/>
      <c r="W69" s="707" t="s">
        <v>113</v>
      </c>
      <c r="X69" s="711"/>
      <c r="Y69" s="707" t="s">
        <v>113</v>
      </c>
      <c r="Z69" s="711"/>
      <c r="AA69" s="707" t="s">
        <v>99</v>
      </c>
      <c r="AB69" s="708"/>
    </row>
    <row r="70" spans="1:28" ht="14.4" customHeight="1" x14ac:dyDescent="0.3">
      <c r="A70" s="627"/>
      <c r="B70" s="628"/>
      <c r="C70" s="655" t="s">
        <v>135</v>
      </c>
      <c r="D70" s="709"/>
      <c r="E70" s="710" t="s">
        <v>113</v>
      </c>
      <c r="F70" s="711"/>
      <c r="G70" s="707" t="s">
        <v>113</v>
      </c>
      <c r="H70" s="711"/>
      <c r="I70" s="707" t="s">
        <v>113</v>
      </c>
      <c r="J70" s="711"/>
      <c r="K70" s="707" t="s">
        <v>113</v>
      </c>
      <c r="L70" s="711"/>
      <c r="M70" s="707" t="s">
        <v>113</v>
      </c>
      <c r="N70" s="711"/>
      <c r="O70" s="707" t="s">
        <v>113</v>
      </c>
      <c r="P70" s="711"/>
      <c r="Q70" s="707" t="s">
        <v>113</v>
      </c>
      <c r="R70" s="711"/>
      <c r="S70" s="707" t="s">
        <v>113</v>
      </c>
      <c r="T70" s="711"/>
      <c r="U70" s="707" t="s">
        <v>113</v>
      </c>
      <c r="V70" s="711"/>
      <c r="W70" s="700" t="s">
        <v>123</v>
      </c>
      <c r="X70" s="701"/>
      <c r="Y70" s="707" t="s">
        <v>113</v>
      </c>
      <c r="Z70" s="711"/>
      <c r="AA70" s="707" t="s">
        <v>99</v>
      </c>
      <c r="AB70" s="708"/>
    </row>
    <row r="71" spans="1:28" ht="14.4" customHeight="1" x14ac:dyDescent="0.3">
      <c r="A71" s="627"/>
      <c r="B71" s="628"/>
      <c r="C71" s="655" t="s">
        <v>136</v>
      </c>
      <c r="D71" s="709"/>
      <c r="E71" s="710" t="s">
        <v>113</v>
      </c>
      <c r="F71" s="711"/>
      <c r="G71" s="707" t="s">
        <v>113</v>
      </c>
      <c r="H71" s="711"/>
      <c r="I71" s="707" t="s">
        <v>113</v>
      </c>
      <c r="J71" s="711"/>
      <c r="K71" s="700" t="s">
        <v>124</v>
      </c>
      <c r="L71" s="701"/>
      <c r="M71" s="707" t="s">
        <v>113</v>
      </c>
      <c r="N71" s="711"/>
      <c r="O71" s="707" t="s">
        <v>113</v>
      </c>
      <c r="P71" s="711"/>
      <c r="Q71" s="707" t="s">
        <v>113</v>
      </c>
      <c r="R71" s="711"/>
      <c r="S71" s="707" t="s">
        <v>113</v>
      </c>
      <c r="T71" s="711"/>
      <c r="U71" s="707" t="s">
        <v>113</v>
      </c>
      <c r="V71" s="711"/>
      <c r="W71" s="707" t="s">
        <v>113</v>
      </c>
      <c r="X71" s="711"/>
      <c r="Y71" s="707" t="s">
        <v>113</v>
      </c>
      <c r="Z71" s="711"/>
      <c r="AA71" s="707" t="s">
        <v>99</v>
      </c>
      <c r="AB71" s="708"/>
    </row>
    <row r="72" spans="1:28" ht="14.4" customHeight="1" x14ac:dyDescent="0.3">
      <c r="A72" s="627"/>
      <c r="B72" s="628"/>
      <c r="C72" s="655" t="s">
        <v>137</v>
      </c>
      <c r="D72" s="709"/>
      <c r="E72" s="710" t="s">
        <v>113</v>
      </c>
      <c r="F72" s="711"/>
      <c r="G72" s="707" t="s">
        <v>113</v>
      </c>
      <c r="H72" s="711"/>
      <c r="I72" s="700" t="s">
        <v>125</v>
      </c>
      <c r="J72" s="701"/>
      <c r="K72" s="707" t="s">
        <v>113</v>
      </c>
      <c r="L72" s="711"/>
      <c r="M72" s="707" t="s">
        <v>113</v>
      </c>
      <c r="N72" s="711"/>
      <c r="O72" s="707" t="s">
        <v>113</v>
      </c>
      <c r="P72" s="711"/>
      <c r="Q72" s="707" t="s">
        <v>113</v>
      </c>
      <c r="R72" s="711"/>
      <c r="S72" s="707" t="s">
        <v>113</v>
      </c>
      <c r="T72" s="711"/>
      <c r="U72" s="707" t="s">
        <v>113</v>
      </c>
      <c r="V72" s="711"/>
      <c r="W72" s="707" t="s">
        <v>113</v>
      </c>
      <c r="X72" s="711"/>
      <c r="Y72" s="707" t="s">
        <v>113</v>
      </c>
      <c r="Z72" s="711"/>
      <c r="AA72" s="707" t="s">
        <v>99</v>
      </c>
      <c r="AB72" s="708"/>
    </row>
    <row r="73" spans="1:28" ht="14.4" customHeight="1" thickBot="1" x14ac:dyDescent="0.35">
      <c r="A73" s="629"/>
      <c r="B73" s="630"/>
      <c r="C73" s="649" t="s">
        <v>138</v>
      </c>
      <c r="D73" s="719"/>
      <c r="E73" s="720" t="s">
        <v>113</v>
      </c>
      <c r="F73" s="704"/>
      <c r="G73" s="713" t="s">
        <v>113</v>
      </c>
      <c r="H73" s="704"/>
      <c r="I73" s="713" t="s">
        <v>113</v>
      </c>
      <c r="J73" s="704"/>
      <c r="K73" s="713" t="s">
        <v>113</v>
      </c>
      <c r="L73" s="704"/>
      <c r="M73" s="713" t="s">
        <v>113</v>
      </c>
      <c r="N73" s="704"/>
      <c r="O73" s="713" t="s">
        <v>113</v>
      </c>
      <c r="P73" s="704"/>
      <c r="Q73" s="721" t="s">
        <v>126</v>
      </c>
      <c r="R73" s="722"/>
      <c r="S73" s="713" t="s">
        <v>113</v>
      </c>
      <c r="T73" s="704"/>
      <c r="U73" s="713" t="s">
        <v>113</v>
      </c>
      <c r="V73" s="704"/>
      <c r="W73" s="713" t="s">
        <v>113</v>
      </c>
      <c r="X73" s="704"/>
      <c r="Y73" s="713" t="s">
        <v>113</v>
      </c>
      <c r="Z73" s="704"/>
      <c r="AA73" s="713" t="s">
        <v>99</v>
      </c>
      <c r="AB73" s="714"/>
    </row>
    <row r="74" spans="1:28" ht="15" customHeight="1" x14ac:dyDescent="0.3">
      <c r="A74" s="631" t="s">
        <v>200</v>
      </c>
      <c r="B74" s="632"/>
      <c r="C74" s="658" t="s">
        <v>292</v>
      </c>
      <c r="D74" s="715"/>
      <c r="E74" s="716" t="s">
        <v>113</v>
      </c>
      <c r="F74" s="662"/>
      <c r="G74" s="717" t="s">
        <v>113</v>
      </c>
      <c r="H74" s="662"/>
      <c r="I74" s="717" t="s">
        <v>113</v>
      </c>
      <c r="J74" s="662"/>
      <c r="K74" s="717" t="s">
        <v>113</v>
      </c>
      <c r="L74" s="662"/>
      <c r="M74" s="717" t="s">
        <v>113</v>
      </c>
      <c r="N74" s="662"/>
      <c r="O74" s="717" t="s">
        <v>113</v>
      </c>
      <c r="P74" s="662"/>
      <c r="Q74" s="717" t="s">
        <v>113</v>
      </c>
      <c r="R74" s="662"/>
      <c r="S74" s="717" t="s">
        <v>113</v>
      </c>
      <c r="T74" s="662"/>
      <c r="U74" s="717" t="s">
        <v>113</v>
      </c>
      <c r="V74" s="662"/>
      <c r="W74" s="717" t="s">
        <v>113</v>
      </c>
      <c r="X74" s="662"/>
      <c r="Y74" s="717" t="s">
        <v>113</v>
      </c>
      <c r="Z74" s="662"/>
      <c r="AA74" s="717" t="s">
        <v>113</v>
      </c>
      <c r="AB74" s="718"/>
    </row>
    <row r="75" spans="1:28" ht="14.4" customHeight="1" x14ac:dyDescent="0.3">
      <c r="A75" s="633"/>
      <c r="B75" s="634"/>
      <c r="C75" s="655" t="s">
        <v>303</v>
      </c>
      <c r="D75" s="709"/>
      <c r="E75" s="712" t="s">
        <v>438</v>
      </c>
      <c r="F75" s="701"/>
      <c r="G75" s="707" t="s">
        <v>113</v>
      </c>
      <c r="H75" s="711"/>
      <c r="I75" s="707" t="s">
        <v>113</v>
      </c>
      <c r="J75" s="711"/>
      <c r="K75" s="707" t="s">
        <v>113</v>
      </c>
      <c r="L75" s="711"/>
      <c r="M75" s="707" t="s">
        <v>113</v>
      </c>
      <c r="N75" s="711"/>
      <c r="O75" s="707" t="s">
        <v>113</v>
      </c>
      <c r="P75" s="711"/>
      <c r="Q75" s="707" t="s">
        <v>113</v>
      </c>
      <c r="R75" s="711"/>
      <c r="S75" s="707" t="s">
        <v>113</v>
      </c>
      <c r="T75" s="711"/>
      <c r="U75" s="707" t="s">
        <v>113</v>
      </c>
      <c r="V75" s="711"/>
      <c r="W75" s="707" t="s">
        <v>113</v>
      </c>
      <c r="X75" s="711"/>
      <c r="Y75" s="707" t="s">
        <v>113</v>
      </c>
      <c r="Z75" s="711"/>
      <c r="AA75" s="707" t="s">
        <v>113</v>
      </c>
      <c r="AB75" s="708"/>
    </row>
    <row r="76" spans="1:28" ht="14.4" customHeight="1" x14ac:dyDescent="0.3">
      <c r="A76" s="633"/>
      <c r="B76" s="634"/>
      <c r="C76" s="655" t="s">
        <v>307</v>
      </c>
      <c r="D76" s="709"/>
      <c r="E76" s="710" t="s">
        <v>113</v>
      </c>
      <c r="F76" s="711"/>
      <c r="G76" s="707" t="s">
        <v>113</v>
      </c>
      <c r="H76" s="711"/>
      <c r="I76" s="707" t="s">
        <v>113</v>
      </c>
      <c r="J76" s="711"/>
      <c r="K76" s="707" t="s">
        <v>113</v>
      </c>
      <c r="L76" s="711"/>
      <c r="M76" s="700" t="s">
        <v>139</v>
      </c>
      <c r="N76" s="701"/>
      <c r="O76" s="707" t="s">
        <v>113</v>
      </c>
      <c r="P76" s="711"/>
      <c r="Q76" s="707" t="s">
        <v>113</v>
      </c>
      <c r="R76" s="711"/>
      <c r="S76" s="707" t="s">
        <v>113</v>
      </c>
      <c r="T76" s="711"/>
      <c r="U76" s="707" t="s">
        <v>113</v>
      </c>
      <c r="V76" s="711"/>
      <c r="W76" s="707" t="s">
        <v>113</v>
      </c>
      <c r="X76" s="711"/>
      <c r="Y76" s="707" t="s">
        <v>113</v>
      </c>
      <c r="Z76" s="711"/>
      <c r="AA76" s="707" t="s">
        <v>113</v>
      </c>
      <c r="AB76" s="708"/>
    </row>
    <row r="77" spans="1:28" ht="14.4" customHeight="1" x14ac:dyDescent="0.3">
      <c r="A77" s="633"/>
      <c r="B77" s="634"/>
      <c r="C77" s="655" t="s">
        <v>308</v>
      </c>
      <c r="D77" s="709"/>
      <c r="E77" s="710" t="s">
        <v>113</v>
      </c>
      <c r="F77" s="711"/>
      <c r="G77" s="707" t="s">
        <v>113</v>
      </c>
      <c r="H77" s="711"/>
      <c r="I77" s="700" t="s">
        <v>439</v>
      </c>
      <c r="J77" s="701"/>
      <c r="K77" s="707" t="s">
        <v>113</v>
      </c>
      <c r="L77" s="711"/>
      <c r="M77" s="707" t="s">
        <v>113</v>
      </c>
      <c r="N77" s="711"/>
      <c r="O77" s="707" t="s">
        <v>113</v>
      </c>
      <c r="P77" s="711"/>
      <c r="Q77" s="707" t="s">
        <v>113</v>
      </c>
      <c r="R77" s="711"/>
      <c r="S77" s="707" t="s">
        <v>113</v>
      </c>
      <c r="T77" s="711"/>
      <c r="U77" s="707" t="s">
        <v>113</v>
      </c>
      <c r="V77" s="711"/>
      <c r="W77" s="707" t="s">
        <v>113</v>
      </c>
      <c r="X77" s="711"/>
      <c r="Y77" s="707" t="s">
        <v>113</v>
      </c>
      <c r="Z77" s="711"/>
      <c r="AA77" s="707" t="s">
        <v>113</v>
      </c>
      <c r="AB77" s="708"/>
    </row>
    <row r="78" spans="1:28" ht="14.4" customHeight="1" x14ac:dyDescent="0.3">
      <c r="A78" s="633"/>
      <c r="B78" s="634"/>
      <c r="C78" s="655" t="s">
        <v>440</v>
      </c>
      <c r="D78" s="709"/>
      <c r="E78" s="710" t="s">
        <v>113</v>
      </c>
      <c r="F78" s="711"/>
      <c r="G78" s="707" t="s">
        <v>113</v>
      </c>
      <c r="H78" s="711"/>
      <c r="I78" s="707" t="s">
        <v>113</v>
      </c>
      <c r="J78" s="711"/>
      <c r="K78" s="707" t="s">
        <v>113</v>
      </c>
      <c r="L78" s="711"/>
      <c r="M78" s="707" t="s">
        <v>113</v>
      </c>
      <c r="N78" s="711"/>
      <c r="O78" s="700" t="s">
        <v>441</v>
      </c>
      <c r="P78" s="701"/>
      <c r="Q78" s="707" t="s">
        <v>113</v>
      </c>
      <c r="R78" s="711"/>
      <c r="S78" s="707" t="s">
        <v>113</v>
      </c>
      <c r="T78" s="711"/>
      <c r="U78" s="707" t="s">
        <v>113</v>
      </c>
      <c r="V78" s="711"/>
      <c r="W78" s="707" t="s">
        <v>113</v>
      </c>
      <c r="X78" s="711"/>
      <c r="Y78" s="707" t="s">
        <v>113</v>
      </c>
      <c r="Z78" s="711"/>
      <c r="AA78" s="707" t="s">
        <v>99</v>
      </c>
      <c r="AB78" s="708"/>
    </row>
    <row r="79" spans="1:28" ht="14.4" customHeight="1" x14ac:dyDescent="0.3">
      <c r="A79" s="633"/>
      <c r="B79" s="634"/>
      <c r="C79" s="655" t="s">
        <v>442</v>
      </c>
      <c r="D79" s="709"/>
      <c r="E79" s="710" t="s">
        <v>113</v>
      </c>
      <c r="F79" s="711"/>
      <c r="G79" s="707" t="s">
        <v>113</v>
      </c>
      <c r="H79" s="711"/>
      <c r="I79" s="707" t="s">
        <v>113</v>
      </c>
      <c r="J79" s="711"/>
      <c r="K79" s="707" t="s">
        <v>113</v>
      </c>
      <c r="L79" s="711"/>
      <c r="M79" s="707" t="s">
        <v>113</v>
      </c>
      <c r="N79" s="711"/>
      <c r="O79" s="707" t="s">
        <v>113</v>
      </c>
      <c r="P79" s="711"/>
      <c r="Q79" s="700" t="s">
        <v>443</v>
      </c>
      <c r="R79" s="701"/>
      <c r="S79" s="707" t="s">
        <v>113</v>
      </c>
      <c r="T79" s="711"/>
      <c r="U79" s="707" t="s">
        <v>113</v>
      </c>
      <c r="V79" s="711"/>
      <c r="W79" s="707" t="s">
        <v>113</v>
      </c>
      <c r="X79" s="711"/>
      <c r="Y79" s="707" t="s">
        <v>113</v>
      </c>
      <c r="Z79" s="711"/>
      <c r="AA79" s="707" t="s">
        <v>99</v>
      </c>
      <c r="AB79" s="708"/>
    </row>
    <row r="80" spans="1:28" ht="14.4" customHeight="1" thickBot="1" x14ac:dyDescent="0.35">
      <c r="A80" s="633"/>
      <c r="B80" s="634"/>
      <c r="C80" s="655" t="s">
        <v>444</v>
      </c>
      <c r="D80" s="709"/>
      <c r="E80" s="710" t="s">
        <v>113</v>
      </c>
      <c r="F80" s="711"/>
      <c r="G80" s="707" t="s">
        <v>113</v>
      </c>
      <c r="H80" s="711"/>
      <c r="I80" s="707" t="s">
        <v>113</v>
      </c>
      <c r="J80" s="711"/>
      <c r="K80" s="707" t="s">
        <v>113</v>
      </c>
      <c r="L80" s="711"/>
      <c r="M80" s="707" t="s">
        <v>113</v>
      </c>
      <c r="N80" s="711"/>
      <c r="O80" s="707" t="s">
        <v>113</v>
      </c>
      <c r="P80" s="711"/>
      <c r="Q80" s="707" t="s">
        <v>113</v>
      </c>
      <c r="R80" s="711"/>
      <c r="S80" s="700" t="s">
        <v>445</v>
      </c>
      <c r="T80" s="701"/>
      <c r="U80" s="707" t="s">
        <v>113</v>
      </c>
      <c r="V80" s="711"/>
      <c r="W80" s="707" t="s">
        <v>113</v>
      </c>
      <c r="X80" s="711"/>
      <c r="Y80" s="707" t="s">
        <v>113</v>
      </c>
      <c r="Z80" s="711"/>
      <c r="AA80" s="707" t="s">
        <v>99</v>
      </c>
      <c r="AB80" s="708"/>
    </row>
    <row r="81" spans="1:28" ht="14.4" customHeight="1" x14ac:dyDescent="0.3">
      <c r="A81" s="625" t="s">
        <v>100</v>
      </c>
      <c r="B81" s="626"/>
      <c r="C81" s="658" t="s">
        <v>111</v>
      </c>
      <c r="D81" s="659" t="s">
        <v>111</v>
      </c>
      <c r="E81" s="660" t="s">
        <v>113</v>
      </c>
      <c r="F81" s="661"/>
      <c r="G81" s="662" t="s">
        <v>113</v>
      </c>
      <c r="H81" s="661"/>
      <c r="I81" s="662" t="s">
        <v>113</v>
      </c>
      <c r="J81" s="661"/>
      <c r="K81" s="662" t="s">
        <v>113</v>
      </c>
      <c r="L81" s="661"/>
      <c r="M81" s="662" t="s">
        <v>113</v>
      </c>
      <c r="N81" s="661"/>
      <c r="O81" s="662" t="s">
        <v>113</v>
      </c>
      <c r="P81" s="661"/>
      <c r="Q81" s="662" t="s">
        <v>113</v>
      </c>
      <c r="R81" s="661"/>
      <c r="S81" s="662" t="s">
        <v>113</v>
      </c>
      <c r="T81" s="661"/>
      <c r="U81" s="662" t="s">
        <v>113</v>
      </c>
      <c r="V81" s="661"/>
      <c r="W81" s="662" t="s">
        <v>113</v>
      </c>
      <c r="X81" s="661"/>
      <c r="Y81" s="662" t="s">
        <v>113</v>
      </c>
      <c r="Z81" s="661"/>
      <c r="AA81" s="662" t="s">
        <v>113</v>
      </c>
      <c r="AB81" s="663"/>
    </row>
    <row r="82" spans="1:28" ht="14.4" customHeight="1" x14ac:dyDescent="0.3">
      <c r="A82" s="627"/>
      <c r="B82" s="628"/>
      <c r="C82" s="655" t="s">
        <v>110</v>
      </c>
      <c r="D82" s="656" t="s">
        <v>110</v>
      </c>
      <c r="E82" s="657" t="s">
        <v>113</v>
      </c>
      <c r="F82" s="647"/>
      <c r="G82" s="646" t="s">
        <v>113</v>
      </c>
      <c r="H82" s="647"/>
      <c r="I82" s="646" t="s">
        <v>113</v>
      </c>
      <c r="J82" s="647"/>
      <c r="K82" s="646" t="s">
        <v>113</v>
      </c>
      <c r="L82" s="647"/>
      <c r="M82" s="646" t="s">
        <v>113</v>
      </c>
      <c r="N82" s="647"/>
      <c r="O82" s="646" t="s">
        <v>113</v>
      </c>
      <c r="P82" s="647"/>
      <c r="Q82" s="646" t="s">
        <v>113</v>
      </c>
      <c r="R82" s="647"/>
      <c r="S82" s="646" t="s">
        <v>113</v>
      </c>
      <c r="T82" s="647"/>
      <c r="U82" s="646" t="s">
        <v>113</v>
      </c>
      <c r="V82" s="647"/>
      <c r="W82" s="646" t="s">
        <v>113</v>
      </c>
      <c r="X82" s="647"/>
      <c r="Y82" s="646" t="s">
        <v>113</v>
      </c>
      <c r="Z82" s="647"/>
      <c r="AA82" s="646" t="s">
        <v>113</v>
      </c>
      <c r="AB82" s="648"/>
    </row>
    <row r="83" spans="1:28" ht="15" customHeight="1" thickBot="1" x14ac:dyDescent="0.35">
      <c r="A83" s="629"/>
      <c r="B83" s="630"/>
      <c r="C83" s="649" t="s">
        <v>140</v>
      </c>
      <c r="D83" s="650" t="s">
        <v>110</v>
      </c>
      <c r="E83" s="703" t="s">
        <v>113</v>
      </c>
      <c r="F83" s="670"/>
      <c r="G83" s="669" t="s">
        <v>141</v>
      </c>
      <c r="H83" s="669"/>
      <c r="I83" s="704" t="s">
        <v>113</v>
      </c>
      <c r="J83" s="670"/>
      <c r="K83" s="704" t="s">
        <v>113</v>
      </c>
      <c r="L83" s="670"/>
      <c r="M83" s="704" t="s">
        <v>113</v>
      </c>
      <c r="N83" s="670"/>
      <c r="O83" s="704" t="s">
        <v>113</v>
      </c>
      <c r="P83" s="670"/>
      <c r="Q83" s="704" t="s">
        <v>113</v>
      </c>
      <c r="R83" s="670"/>
      <c r="S83" s="704" t="s">
        <v>113</v>
      </c>
      <c r="T83" s="670"/>
      <c r="U83" s="704" t="s">
        <v>113</v>
      </c>
      <c r="V83" s="670"/>
      <c r="W83" s="704" t="s">
        <v>113</v>
      </c>
      <c r="X83" s="670"/>
      <c r="Y83" s="704" t="s">
        <v>113</v>
      </c>
      <c r="Z83" s="670"/>
      <c r="AA83" s="704" t="s">
        <v>113</v>
      </c>
      <c r="AB83" s="671"/>
    </row>
    <row r="85" spans="1:28" ht="15" thickBot="1" x14ac:dyDescent="0.35"/>
    <row r="86" spans="1:28" ht="26.4" thickBot="1" x14ac:dyDescent="0.55000000000000004">
      <c r="A86" s="723" t="s">
        <v>196</v>
      </c>
      <c r="B86" s="724"/>
      <c r="C86" s="724"/>
      <c r="D86" s="724"/>
      <c r="E86" s="724"/>
      <c r="F86" s="724"/>
      <c r="G86" s="724"/>
      <c r="H86" s="724"/>
      <c r="I86" s="724"/>
      <c r="J86" s="724"/>
      <c r="K86" s="724"/>
      <c r="L86" s="724"/>
      <c r="M86" s="724"/>
      <c r="N86" s="724"/>
      <c r="O86" s="724"/>
      <c r="P86" s="724"/>
      <c r="Q86" s="724"/>
      <c r="R86" s="724"/>
      <c r="S86" s="724"/>
      <c r="T86" s="724"/>
      <c r="U86" s="724"/>
      <c r="V86" s="724"/>
      <c r="W86" s="724"/>
      <c r="X86" s="724"/>
      <c r="Y86" s="724"/>
      <c r="Z86" s="724"/>
      <c r="AA86" s="724"/>
      <c r="AB86" s="725"/>
    </row>
    <row r="87" spans="1:28" ht="15.75" customHeight="1" x14ac:dyDescent="0.3">
      <c r="A87" s="726" t="s">
        <v>10</v>
      </c>
      <c r="B87" s="726" t="s">
        <v>11</v>
      </c>
      <c r="C87" s="729" t="s">
        <v>57</v>
      </c>
      <c r="D87" s="730"/>
      <c r="E87" s="674" t="s">
        <v>28</v>
      </c>
      <c r="F87" s="675"/>
      <c r="G87" s="674" t="s">
        <v>29</v>
      </c>
      <c r="H87" s="675"/>
      <c r="I87" s="674" t="s">
        <v>30</v>
      </c>
      <c r="J87" s="675"/>
      <c r="K87" s="674" t="s">
        <v>31</v>
      </c>
      <c r="L87" s="675"/>
      <c r="M87" s="674" t="s">
        <v>32</v>
      </c>
      <c r="N87" s="675"/>
      <c r="O87" s="674" t="s">
        <v>33</v>
      </c>
      <c r="P87" s="675"/>
      <c r="Q87" s="674" t="s">
        <v>34</v>
      </c>
      <c r="R87" s="675"/>
      <c r="S87" s="674" t="s">
        <v>35</v>
      </c>
      <c r="T87" s="675"/>
      <c r="U87" s="674" t="s">
        <v>36</v>
      </c>
      <c r="V87" s="675"/>
      <c r="W87" s="674" t="s">
        <v>37</v>
      </c>
      <c r="X87" s="675"/>
      <c r="Y87" s="674" t="s">
        <v>38</v>
      </c>
      <c r="Z87" s="675"/>
      <c r="AA87" s="674" t="s">
        <v>39</v>
      </c>
      <c r="AB87" s="675"/>
    </row>
    <row r="88" spans="1:28" ht="15" customHeight="1" x14ac:dyDescent="0.3">
      <c r="A88" s="727"/>
      <c r="B88" s="727"/>
      <c r="C88" s="731" t="s">
        <v>42</v>
      </c>
      <c r="D88" s="733" t="s">
        <v>58</v>
      </c>
      <c r="E88" s="735">
        <v>0.08</v>
      </c>
      <c r="F88" s="736"/>
      <c r="G88" s="735">
        <v>0.08</v>
      </c>
      <c r="H88" s="736"/>
      <c r="I88" s="735">
        <v>0.08</v>
      </c>
      <c r="J88" s="736"/>
      <c r="K88" s="735">
        <v>0.08</v>
      </c>
      <c r="L88" s="736"/>
      <c r="M88" s="735">
        <v>0.08</v>
      </c>
      <c r="N88" s="736"/>
      <c r="O88" s="735">
        <v>0.08</v>
      </c>
      <c r="P88" s="736"/>
      <c r="Q88" s="735">
        <v>0.08</v>
      </c>
      <c r="R88" s="736"/>
      <c r="S88" s="735">
        <v>0.08</v>
      </c>
      <c r="T88" s="736"/>
      <c r="U88" s="735">
        <v>0.08</v>
      </c>
      <c r="V88" s="736"/>
      <c r="W88" s="735">
        <v>0.08</v>
      </c>
      <c r="X88" s="736"/>
      <c r="Y88" s="735">
        <v>0.1</v>
      </c>
      <c r="Z88" s="736"/>
      <c r="AA88" s="735">
        <v>0.1</v>
      </c>
      <c r="AB88" s="736"/>
    </row>
    <row r="89" spans="1:28" ht="15.75" customHeight="1" thickBot="1" x14ac:dyDescent="0.35">
      <c r="A89" s="728"/>
      <c r="B89" s="728"/>
      <c r="C89" s="732"/>
      <c r="D89" s="734"/>
      <c r="E89" s="28" t="s">
        <v>42</v>
      </c>
      <c r="F89" s="29" t="s">
        <v>58</v>
      </c>
      <c r="G89" s="28" t="s">
        <v>42</v>
      </c>
      <c r="H89" s="29" t="s">
        <v>58</v>
      </c>
      <c r="I89" s="28" t="s">
        <v>42</v>
      </c>
      <c r="J89" s="29" t="s">
        <v>58</v>
      </c>
      <c r="K89" s="28" t="s">
        <v>42</v>
      </c>
      <c r="L89" s="29" t="s">
        <v>58</v>
      </c>
      <c r="M89" s="28" t="s">
        <v>42</v>
      </c>
      <c r="N89" s="29" t="s">
        <v>58</v>
      </c>
      <c r="O89" s="28" t="s">
        <v>42</v>
      </c>
      <c r="P89" s="29" t="s">
        <v>58</v>
      </c>
      <c r="Q89" s="28" t="s">
        <v>42</v>
      </c>
      <c r="R89" s="29" t="s">
        <v>58</v>
      </c>
      <c r="S89" s="28" t="s">
        <v>42</v>
      </c>
      <c r="T89" s="29" t="s">
        <v>58</v>
      </c>
      <c r="U89" s="28" t="s">
        <v>42</v>
      </c>
      <c r="V89" s="29" t="s">
        <v>58</v>
      </c>
      <c r="W89" s="28" t="s">
        <v>42</v>
      </c>
      <c r="X89" s="29" t="s">
        <v>58</v>
      </c>
      <c r="Y89" s="28" t="s">
        <v>42</v>
      </c>
      <c r="Z89" s="29" t="s">
        <v>58</v>
      </c>
      <c r="AA89" s="28" t="s">
        <v>42</v>
      </c>
      <c r="AB89" s="29" t="s">
        <v>58</v>
      </c>
    </row>
    <row r="90" spans="1:28" ht="15.75" customHeight="1" x14ac:dyDescent="0.3">
      <c r="A90" s="40" t="str">
        <f>Hipótesis!F30</f>
        <v xml:space="preserve">Liviana </v>
      </c>
      <c r="B90" s="30"/>
      <c r="C90" s="31"/>
      <c r="D90" s="32"/>
      <c r="E90" s="33"/>
      <c r="F90" s="32"/>
      <c r="G90" s="33"/>
      <c r="H90" s="32"/>
      <c r="I90" s="33"/>
      <c r="J90" s="32"/>
      <c r="K90" s="33"/>
      <c r="L90" s="32"/>
      <c r="M90" s="33"/>
      <c r="N90" s="32"/>
      <c r="O90" s="33"/>
      <c r="P90" s="32"/>
      <c r="Q90" s="33"/>
      <c r="R90" s="32"/>
      <c r="S90" s="33"/>
      <c r="T90" s="32"/>
      <c r="U90" s="33"/>
      <c r="V90" s="32"/>
      <c r="W90" s="33"/>
      <c r="X90" s="32"/>
      <c r="Y90" s="33"/>
      <c r="Z90" s="34"/>
      <c r="AA90" s="33"/>
      <c r="AB90" s="32"/>
    </row>
    <row r="91" spans="1:28" ht="15.75" customHeight="1" x14ac:dyDescent="0.3">
      <c r="A91" s="35" t="str">
        <f>Hipótesis!B30</f>
        <v>Dada</v>
      </c>
      <c r="B91" s="36">
        <f>Hipótesis!C30</f>
        <v>23850</v>
      </c>
      <c r="C91" s="37">
        <v>1000</v>
      </c>
      <c r="D91" s="38">
        <f>B91*C91</f>
        <v>23850000</v>
      </c>
      <c r="E91" s="39">
        <f>C91*$E$88</f>
        <v>80</v>
      </c>
      <c r="F91" s="38">
        <f>D91*E88</f>
        <v>1908000</v>
      </c>
      <c r="G91" s="39">
        <f>C91*$G$88</f>
        <v>80</v>
      </c>
      <c r="H91" s="38">
        <f>D91*G88</f>
        <v>1908000</v>
      </c>
      <c r="I91" s="39">
        <f t="shared" ref="I91:J92" si="11">C91*$I$88</f>
        <v>80</v>
      </c>
      <c r="J91" s="38">
        <f t="shared" si="11"/>
        <v>1908000</v>
      </c>
      <c r="K91" s="39">
        <f t="shared" ref="K91:L92" si="12">C91*$K$88</f>
        <v>80</v>
      </c>
      <c r="L91" s="38">
        <f t="shared" si="12"/>
        <v>1908000</v>
      </c>
      <c r="M91" s="39">
        <f t="shared" ref="M91:N92" si="13">C91*$M$88</f>
        <v>80</v>
      </c>
      <c r="N91" s="38">
        <f t="shared" si="13"/>
        <v>1908000</v>
      </c>
      <c r="O91" s="39">
        <f t="shared" ref="O91:P92" si="14">C91*$O$88</f>
        <v>80</v>
      </c>
      <c r="P91" s="38">
        <f t="shared" si="14"/>
        <v>1908000</v>
      </c>
      <c r="Q91" s="39">
        <f t="shared" ref="Q91:R92" si="15">C91*$Q$88</f>
        <v>80</v>
      </c>
      <c r="R91" s="38">
        <f t="shared" si="15"/>
        <v>1908000</v>
      </c>
      <c r="S91" s="39">
        <f t="shared" ref="S91:T92" si="16">C91*$S$88</f>
        <v>80</v>
      </c>
      <c r="T91" s="38">
        <f t="shared" si="16"/>
        <v>1908000</v>
      </c>
      <c r="U91" s="39">
        <f t="shared" ref="U91:V92" si="17">C91*$U$88</f>
        <v>80</v>
      </c>
      <c r="V91" s="38">
        <f t="shared" si="17"/>
        <v>1908000</v>
      </c>
      <c r="W91" s="39">
        <f t="shared" ref="W91:X92" si="18">C91*$W$88</f>
        <v>80</v>
      </c>
      <c r="X91" s="38">
        <f t="shared" si="18"/>
        <v>1908000</v>
      </c>
      <c r="Y91" s="39">
        <f t="shared" ref="Y91:Z92" si="19">C91*$Y$88</f>
        <v>100</v>
      </c>
      <c r="Z91" s="38">
        <f t="shared" si="19"/>
        <v>2385000</v>
      </c>
      <c r="AA91" s="39">
        <f t="shared" ref="AA91:AB92" si="20">C91*$AA$88</f>
        <v>100</v>
      </c>
      <c r="AB91" s="38">
        <f t="shared" si="20"/>
        <v>2385000</v>
      </c>
    </row>
    <row r="92" spans="1:28" ht="15.75" customHeight="1" thickBot="1" x14ac:dyDescent="0.35">
      <c r="A92" s="35" t="str">
        <f>Hipótesis!B31</f>
        <v>Gretel</v>
      </c>
      <c r="B92" s="36">
        <f>Hipótesis!C31</f>
        <v>25000</v>
      </c>
      <c r="C92" s="37">
        <v>800</v>
      </c>
      <c r="D92" s="38">
        <f>B92*C92</f>
        <v>20000000</v>
      </c>
      <c r="E92" s="39">
        <f>C92*$E$88</f>
        <v>64</v>
      </c>
      <c r="F92" s="38">
        <f>D92*E88</f>
        <v>1600000</v>
      </c>
      <c r="G92" s="39">
        <f>C92*$G$88</f>
        <v>64</v>
      </c>
      <c r="H92" s="38">
        <f>D92*$G$88</f>
        <v>1600000</v>
      </c>
      <c r="I92" s="39">
        <f t="shared" si="11"/>
        <v>64</v>
      </c>
      <c r="J92" s="38">
        <f t="shared" si="11"/>
        <v>1600000</v>
      </c>
      <c r="K92" s="39">
        <f t="shared" si="12"/>
        <v>64</v>
      </c>
      <c r="L92" s="38">
        <f t="shared" si="12"/>
        <v>1600000</v>
      </c>
      <c r="M92" s="39">
        <f t="shared" si="13"/>
        <v>64</v>
      </c>
      <c r="N92" s="38">
        <f t="shared" si="13"/>
        <v>1600000</v>
      </c>
      <c r="O92" s="39">
        <f t="shared" si="14"/>
        <v>64</v>
      </c>
      <c r="P92" s="38">
        <f t="shared" si="14"/>
        <v>1600000</v>
      </c>
      <c r="Q92" s="39">
        <f t="shared" si="15"/>
        <v>64</v>
      </c>
      <c r="R92" s="38">
        <f t="shared" si="15"/>
        <v>1600000</v>
      </c>
      <c r="S92" s="39">
        <f t="shared" si="16"/>
        <v>64</v>
      </c>
      <c r="T92" s="38">
        <f t="shared" si="16"/>
        <v>1600000</v>
      </c>
      <c r="U92" s="39">
        <f t="shared" si="17"/>
        <v>64</v>
      </c>
      <c r="V92" s="38">
        <f t="shared" si="17"/>
        <v>1600000</v>
      </c>
      <c r="W92" s="39">
        <f t="shared" si="18"/>
        <v>64</v>
      </c>
      <c r="X92" s="38">
        <f t="shared" si="18"/>
        <v>1600000</v>
      </c>
      <c r="Y92" s="39">
        <f t="shared" si="19"/>
        <v>80</v>
      </c>
      <c r="Z92" s="38">
        <f t="shared" si="19"/>
        <v>2000000</v>
      </c>
      <c r="AA92" s="39">
        <f t="shared" si="20"/>
        <v>80</v>
      </c>
      <c r="AB92" s="38">
        <f t="shared" si="20"/>
        <v>2000000</v>
      </c>
    </row>
    <row r="93" spans="1:28" ht="15.6" x14ac:dyDescent="0.3">
      <c r="A93" s="41" t="str">
        <f>Hipótesis!G30</f>
        <v>Creativa</v>
      </c>
      <c r="B93" s="30"/>
      <c r="C93" s="31"/>
      <c r="D93" s="32"/>
      <c r="E93" s="33"/>
      <c r="F93" s="32"/>
      <c r="G93" s="33"/>
      <c r="H93" s="32"/>
      <c r="I93" s="33"/>
      <c r="J93" s="32"/>
      <c r="K93" s="33"/>
      <c r="L93" s="32"/>
      <c r="M93" s="33"/>
      <c r="N93" s="32"/>
      <c r="O93" s="33"/>
      <c r="P93" s="32"/>
      <c r="Q93" s="33"/>
      <c r="R93" s="32"/>
      <c r="S93" s="33"/>
      <c r="T93" s="32"/>
      <c r="U93" s="33"/>
      <c r="V93" s="32"/>
      <c r="W93" s="33"/>
      <c r="X93" s="32"/>
      <c r="Y93" s="33"/>
      <c r="Z93" s="34"/>
      <c r="AA93" s="33"/>
      <c r="AB93" s="32"/>
    </row>
    <row r="94" spans="1:28" ht="16.5" customHeight="1" thickBot="1" x14ac:dyDescent="0.35">
      <c r="A94" s="42" t="str">
        <f>Hipótesis!B32</f>
        <v>Monkey</v>
      </c>
      <c r="B94" s="43">
        <f>Hipótesis!C32</f>
        <v>28450</v>
      </c>
      <c r="C94" s="44">
        <v>600</v>
      </c>
      <c r="D94" s="45">
        <f>B94*C94</f>
        <v>17070000</v>
      </c>
      <c r="E94" s="46">
        <f>C94*$E$88</f>
        <v>48</v>
      </c>
      <c r="F94" s="45">
        <f>D94*$E$88</f>
        <v>1365600</v>
      </c>
      <c r="G94" s="46">
        <f>C94*$G$88</f>
        <v>48</v>
      </c>
      <c r="H94" s="45">
        <f>D94*$G$88</f>
        <v>1365600</v>
      </c>
      <c r="I94" s="46">
        <f>C94*$I$88</f>
        <v>48</v>
      </c>
      <c r="J94" s="45">
        <f>D94*I88</f>
        <v>1365600</v>
      </c>
      <c r="K94" s="46">
        <f>C94*$K$88</f>
        <v>48</v>
      </c>
      <c r="L94" s="45">
        <f>D94*$K$88</f>
        <v>1365600</v>
      </c>
      <c r="M94" s="46">
        <f>C94*$M$88</f>
        <v>48</v>
      </c>
      <c r="N94" s="45">
        <f>D94*$M$88</f>
        <v>1365600</v>
      </c>
      <c r="O94" s="46">
        <f>C94*$O$88</f>
        <v>48</v>
      </c>
      <c r="P94" s="45">
        <f>D94*$O$88</f>
        <v>1365600</v>
      </c>
      <c r="Q94" s="46">
        <f>C94*$Q$88</f>
        <v>48</v>
      </c>
      <c r="R94" s="45">
        <f>D94*$Q$88</f>
        <v>1365600</v>
      </c>
      <c r="S94" s="46">
        <f>C94*$S$88</f>
        <v>48</v>
      </c>
      <c r="T94" s="45">
        <f>D94*$S$88</f>
        <v>1365600</v>
      </c>
      <c r="U94" s="46">
        <f>C94*$U$88</f>
        <v>48</v>
      </c>
      <c r="V94" s="45">
        <f>D94*$U$88</f>
        <v>1365600</v>
      </c>
      <c r="W94" s="46">
        <f>C94*$W$88</f>
        <v>48</v>
      </c>
      <c r="X94" s="45">
        <f>D94*$W$88</f>
        <v>1365600</v>
      </c>
      <c r="Y94" s="46">
        <f>C94*$Y$88</f>
        <v>60</v>
      </c>
      <c r="Z94" s="47">
        <f>D94*$Y$88</f>
        <v>1707000</v>
      </c>
      <c r="AA94" s="46">
        <f>C94*$AA$88</f>
        <v>60</v>
      </c>
      <c r="AB94" s="45">
        <f>D94*$AA$88</f>
        <v>1707000</v>
      </c>
    </row>
    <row r="95" spans="1:28" ht="15.75" customHeight="1" x14ac:dyDescent="0.3">
      <c r="A95" s="48" t="str">
        <f>Hipótesis!H30</f>
        <v>Exclusiva</v>
      </c>
      <c r="B95" s="30"/>
      <c r="C95" s="31"/>
      <c r="D95" s="32"/>
      <c r="E95" s="33"/>
      <c r="F95" s="32"/>
      <c r="G95" s="33"/>
      <c r="H95" s="32"/>
      <c r="I95" s="33"/>
      <c r="J95" s="32"/>
      <c r="K95" s="33"/>
      <c r="L95" s="32"/>
      <c r="M95" s="33"/>
      <c r="N95" s="32"/>
      <c r="O95" s="33"/>
      <c r="P95" s="32"/>
      <c r="Q95" s="33"/>
      <c r="R95" s="32"/>
      <c r="S95" s="33"/>
      <c r="T95" s="32"/>
      <c r="U95" s="33"/>
      <c r="V95" s="32"/>
      <c r="W95" s="33"/>
      <c r="X95" s="32"/>
      <c r="Y95" s="33"/>
      <c r="Z95" s="34"/>
      <c r="AA95" s="33"/>
      <c r="AB95" s="32"/>
    </row>
    <row r="96" spans="1:28" ht="16.5" customHeight="1" thickBot="1" x14ac:dyDescent="0.35">
      <c r="A96" s="49" t="str">
        <f>Hipótesis!B33</f>
        <v>Personalizada</v>
      </c>
      <c r="B96" s="50">
        <f>Hipótesis!C33</f>
        <v>33700</v>
      </c>
      <c r="C96" s="51">
        <v>400</v>
      </c>
      <c r="D96" s="52">
        <f>B96*C96</f>
        <v>13480000</v>
      </c>
      <c r="E96" s="53">
        <f>C96*$E$88</f>
        <v>32</v>
      </c>
      <c r="F96" s="52">
        <f>D96*$E$88</f>
        <v>1078400</v>
      </c>
      <c r="G96" s="53">
        <f>C96*$G$88</f>
        <v>32</v>
      </c>
      <c r="H96" s="52">
        <f>D96*$G$88</f>
        <v>1078400</v>
      </c>
      <c r="I96" s="53">
        <f>C96*$I$88</f>
        <v>32</v>
      </c>
      <c r="J96" s="52">
        <f>D96*$I$88</f>
        <v>1078400</v>
      </c>
      <c r="K96" s="53">
        <f>C96*$K$88</f>
        <v>32</v>
      </c>
      <c r="L96" s="52">
        <f>D96*$K$88</f>
        <v>1078400</v>
      </c>
      <c r="M96" s="53">
        <f>C96*$M$88</f>
        <v>32</v>
      </c>
      <c r="N96" s="52">
        <f>D96*$M$88</f>
        <v>1078400</v>
      </c>
      <c r="O96" s="53">
        <f>C96*$O$88</f>
        <v>32</v>
      </c>
      <c r="P96" s="52">
        <f>D96*$O$88</f>
        <v>1078400</v>
      </c>
      <c r="Q96" s="53">
        <f>C96*$Q$88</f>
        <v>32</v>
      </c>
      <c r="R96" s="52">
        <f>D96*$Q$88</f>
        <v>1078400</v>
      </c>
      <c r="S96" s="53">
        <f>C96*$S$88</f>
        <v>32</v>
      </c>
      <c r="T96" s="52">
        <f>D96*$S$88</f>
        <v>1078400</v>
      </c>
      <c r="U96" s="53">
        <f>C96*$U$88</f>
        <v>32</v>
      </c>
      <c r="V96" s="52">
        <f>D96*$U$88</f>
        <v>1078400</v>
      </c>
      <c r="W96" s="53">
        <f>C96*$W$88</f>
        <v>32</v>
      </c>
      <c r="X96" s="52">
        <f>D96*$W$88</f>
        <v>1078400</v>
      </c>
      <c r="Y96" s="53">
        <f>C96*$Y$88</f>
        <v>40</v>
      </c>
      <c r="Z96" s="54">
        <f>D96*$Y$88</f>
        <v>1348000</v>
      </c>
      <c r="AA96" s="53">
        <f>C96*$AA$88</f>
        <v>40</v>
      </c>
      <c r="AB96" s="52">
        <f>D96*$AA$88</f>
        <v>1348000</v>
      </c>
    </row>
    <row r="97" spans="1:28" ht="16.5" customHeight="1" thickBot="1" x14ac:dyDescent="0.35">
      <c r="A97" s="737" t="s">
        <v>59</v>
      </c>
      <c r="B97" s="738"/>
      <c r="C97" s="26"/>
      <c r="D97" s="56">
        <f>SUM(D90:D96)</f>
        <v>74400000</v>
      </c>
      <c r="E97" s="27"/>
      <c r="F97" s="55">
        <f>SUM(F90:F96)</f>
        <v>5952000</v>
      </c>
      <c r="G97" s="27"/>
      <c r="H97" s="55">
        <f>SUM(H90:H96)</f>
        <v>5952000</v>
      </c>
      <c r="I97" s="27"/>
      <c r="J97" s="55">
        <f>SUM(J90:J96)</f>
        <v>5952000</v>
      </c>
      <c r="K97" s="27"/>
      <c r="L97" s="55">
        <f>SUM(L90:L96)</f>
        <v>5952000</v>
      </c>
      <c r="M97" s="27"/>
      <c r="N97" s="55">
        <f>SUM(N90:N96)</f>
        <v>5952000</v>
      </c>
      <c r="O97" s="27"/>
      <c r="P97" s="55">
        <f>SUM(P90:P96)</f>
        <v>5952000</v>
      </c>
      <c r="Q97" s="27"/>
      <c r="R97" s="55">
        <f>SUM(R90:R96)</f>
        <v>5952000</v>
      </c>
      <c r="S97" s="27"/>
      <c r="T97" s="55">
        <f>SUM(T90:T96)</f>
        <v>5952000</v>
      </c>
      <c r="U97" s="27"/>
      <c r="V97" s="55">
        <f>SUM(V90:V96)</f>
        <v>5952000</v>
      </c>
      <c r="W97" s="27"/>
      <c r="X97" s="55">
        <f>SUM(X90:X96)</f>
        <v>5952000</v>
      </c>
      <c r="Y97" s="27"/>
      <c r="Z97" s="55">
        <f>SUM(Z90:Z96)</f>
        <v>7440000</v>
      </c>
      <c r="AA97" s="27"/>
      <c r="AB97" s="55">
        <f>SUM(AB90:AB96)</f>
        <v>7440000</v>
      </c>
    </row>
    <row r="98" spans="1:28" ht="16.5" customHeight="1" thickBot="1" x14ac:dyDescent="0.35">
      <c r="A98" s="739" t="s">
        <v>60</v>
      </c>
      <c r="B98" s="740"/>
      <c r="C98" s="58">
        <f>SUM(C91:C92)</f>
        <v>1800</v>
      </c>
      <c r="D98" s="59"/>
      <c r="E98" s="174">
        <f>SUM(E91:E92)</f>
        <v>144</v>
      </c>
      <c r="F98" s="59"/>
      <c r="G98" s="58">
        <f>SUM(G91:G92)</f>
        <v>144</v>
      </c>
      <c r="H98" s="59"/>
      <c r="I98" s="58">
        <f>SUM(I91:I92)</f>
        <v>144</v>
      </c>
      <c r="J98" s="59"/>
      <c r="K98" s="58">
        <f>SUM(K91:K92)</f>
        <v>144</v>
      </c>
      <c r="L98" s="59"/>
      <c r="M98" s="58">
        <f>SUM(M91:M92)</f>
        <v>144</v>
      </c>
      <c r="N98" s="59"/>
      <c r="O98" s="58">
        <f>SUM(O91:O92)</f>
        <v>144</v>
      </c>
      <c r="P98" s="59"/>
      <c r="Q98" s="58">
        <f>SUM(Q91:Q92)</f>
        <v>144</v>
      </c>
      <c r="R98" s="59"/>
      <c r="S98" s="58">
        <f>SUM(S91:S92)</f>
        <v>144</v>
      </c>
      <c r="T98" s="59"/>
      <c r="U98" s="58">
        <f>SUM(U91:U92)</f>
        <v>144</v>
      </c>
      <c r="V98" s="59"/>
      <c r="W98" s="58">
        <f>SUM(W91:W92)</f>
        <v>144</v>
      </c>
      <c r="X98" s="59"/>
      <c r="Y98" s="58">
        <f>SUM(Y91:Y92)</f>
        <v>180</v>
      </c>
      <c r="Z98" s="59"/>
      <c r="AA98" s="58">
        <f>SUM(AA91:AA92)</f>
        <v>180</v>
      </c>
      <c r="AB98" s="59"/>
    </row>
    <row r="99" spans="1:28" ht="16.5" customHeight="1" thickBot="1" x14ac:dyDescent="0.35">
      <c r="A99" s="741" t="s">
        <v>430</v>
      </c>
      <c r="B99" s="742"/>
      <c r="C99" s="60">
        <f>C94</f>
        <v>600</v>
      </c>
      <c r="D99" s="59"/>
      <c r="E99" s="175">
        <f>E94</f>
        <v>48</v>
      </c>
      <c r="F99" s="59"/>
      <c r="G99" s="60">
        <f>G94</f>
        <v>48</v>
      </c>
      <c r="H99" s="59"/>
      <c r="I99" s="60">
        <f>I94</f>
        <v>48</v>
      </c>
      <c r="J99" s="59"/>
      <c r="K99" s="60">
        <f>K94</f>
        <v>48</v>
      </c>
      <c r="L99" s="59"/>
      <c r="M99" s="60">
        <f>M94</f>
        <v>48</v>
      </c>
      <c r="N99" s="59"/>
      <c r="O99" s="60">
        <f>O94</f>
        <v>48</v>
      </c>
      <c r="P99" s="59"/>
      <c r="Q99" s="60">
        <f>Q94</f>
        <v>48</v>
      </c>
      <c r="R99" s="59"/>
      <c r="S99" s="60">
        <f>S94</f>
        <v>48</v>
      </c>
      <c r="T99" s="59"/>
      <c r="U99" s="60">
        <f>U94</f>
        <v>48</v>
      </c>
      <c r="V99" s="59"/>
      <c r="W99" s="60">
        <f>W94</f>
        <v>48</v>
      </c>
      <c r="X99" s="59"/>
      <c r="Y99" s="60">
        <f>Y94</f>
        <v>60</v>
      </c>
      <c r="Z99" s="59"/>
      <c r="AA99" s="60">
        <f>AA94</f>
        <v>60</v>
      </c>
      <c r="AB99" s="59"/>
    </row>
    <row r="100" spans="1:28" ht="16.5" customHeight="1" thickBot="1" x14ac:dyDescent="0.35">
      <c r="A100" s="743" t="s">
        <v>22</v>
      </c>
      <c r="B100" s="744"/>
      <c r="C100" s="57">
        <f>C96</f>
        <v>400</v>
      </c>
      <c r="D100" s="59"/>
      <c r="E100" s="176">
        <f>E96</f>
        <v>32</v>
      </c>
      <c r="F100" s="59"/>
      <c r="G100" s="57">
        <f>G96</f>
        <v>32</v>
      </c>
      <c r="H100" s="59"/>
      <c r="I100" s="57">
        <f>I96</f>
        <v>32</v>
      </c>
      <c r="J100" s="59"/>
      <c r="K100" s="57">
        <f>K96</f>
        <v>32</v>
      </c>
      <c r="L100" s="59"/>
      <c r="M100" s="57">
        <f>M96</f>
        <v>32</v>
      </c>
      <c r="N100" s="59"/>
      <c r="O100" s="57">
        <f>O96</f>
        <v>32</v>
      </c>
      <c r="P100" s="59"/>
      <c r="Q100" s="57">
        <f>Q96</f>
        <v>32</v>
      </c>
      <c r="R100" s="59"/>
      <c r="S100" s="57">
        <f>S96</f>
        <v>32</v>
      </c>
      <c r="T100" s="59"/>
      <c r="U100" s="57">
        <f>U96</f>
        <v>32</v>
      </c>
      <c r="V100" s="59"/>
      <c r="W100" s="57">
        <f>W96</f>
        <v>32</v>
      </c>
      <c r="X100" s="59"/>
      <c r="Y100" s="57">
        <f>Y96</f>
        <v>40</v>
      </c>
      <c r="Z100" s="59"/>
      <c r="AA100" s="57">
        <f>AA96</f>
        <v>40</v>
      </c>
      <c r="AB100" s="59"/>
    </row>
    <row r="101" spans="1:28" ht="16.5" customHeight="1" thickBot="1" x14ac:dyDescent="0.35">
      <c r="A101" s="705" t="s">
        <v>189</v>
      </c>
      <c r="B101" s="706"/>
      <c r="C101" s="178">
        <f>SUM(C98:C100)</f>
        <v>2800</v>
      </c>
      <c r="D101" s="59"/>
      <c r="E101" s="178">
        <f>SUM(E98:E100)</f>
        <v>224</v>
      </c>
      <c r="F101" s="59"/>
      <c r="G101" s="178">
        <f>SUM(G98:G100)</f>
        <v>224</v>
      </c>
      <c r="H101" s="59"/>
      <c r="I101" s="178">
        <f>SUM(I98:I100)</f>
        <v>224</v>
      </c>
      <c r="J101" s="59"/>
      <c r="K101" s="178">
        <f>SUM(K98:K100)</f>
        <v>224</v>
      </c>
      <c r="L101" s="59"/>
      <c r="M101" s="178">
        <f>SUM(M98:M100)</f>
        <v>224</v>
      </c>
      <c r="N101" s="59"/>
      <c r="O101" s="178">
        <f>SUM(O98:O100)</f>
        <v>224</v>
      </c>
      <c r="P101" s="59"/>
      <c r="Q101" s="178">
        <f>SUM(Q98:Q100)</f>
        <v>224</v>
      </c>
      <c r="R101" s="59"/>
      <c r="S101" s="178">
        <f>SUM(S98:S100)</f>
        <v>224</v>
      </c>
      <c r="T101" s="59"/>
      <c r="U101" s="178">
        <f>SUM(U98:U100)</f>
        <v>224</v>
      </c>
      <c r="V101" s="59"/>
      <c r="W101" s="178">
        <f>SUM(W98:W100)</f>
        <v>224</v>
      </c>
      <c r="X101" s="59"/>
      <c r="Y101" s="178">
        <f>SUM(Y98:Y100)</f>
        <v>280</v>
      </c>
      <c r="Z101" s="59"/>
      <c r="AA101" s="178">
        <f>SUM(AA98:AA100)</f>
        <v>280</v>
      </c>
      <c r="AB101" s="59"/>
    </row>
    <row r="102" spans="1:28" ht="31.8" thickBot="1" x14ac:dyDescent="0.35">
      <c r="A102" s="180" t="s">
        <v>199</v>
      </c>
      <c r="B102" s="181">
        <f>SUM(F97+H97+J97+L97+N97+P97+R97+T97+V97+X97+Z97+AB97)</f>
        <v>74400000</v>
      </c>
      <c r="D102" s="185"/>
    </row>
    <row r="104" spans="1:28" ht="15" thickBot="1" x14ac:dyDescent="0.35"/>
    <row r="105" spans="1:28" ht="26.4" thickBot="1" x14ac:dyDescent="0.55000000000000004">
      <c r="A105" s="681" t="s">
        <v>197</v>
      </c>
      <c r="B105" s="682"/>
      <c r="C105" s="682"/>
      <c r="D105" s="682"/>
      <c r="E105" s="682"/>
      <c r="F105" s="682"/>
      <c r="G105" s="682"/>
      <c r="H105" s="682"/>
      <c r="I105" s="682"/>
      <c r="J105" s="682"/>
      <c r="K105" s="682"/>
      <c r="L105" s="682"/>
      <c r="M105" s="682"/>
      <c r="N105" s="682"/>
      <c r="O105" s="682"/>
      <c r="P105" s="682"/>
      <c r="Q105" s="682"/>
      <c r="R105" s="682"/>
      <c r="S105" s="682"/>
      <c r="T105" s="682"/>
      <c r="U105" s="682"/>
      <c r="V105" s="682"/>
      <c r="W105" s="682"/>
      <c r="X105" s="682"/>
      <c r="Y105" s="682"/>
      <c r="Z105" s="682"/>
      <c r="AA105" s="682"/>
      <c r="AB105" s="683"/>
    </row>
    <row r="106" spans="1:28" ht="26.4" thickBot="1" x14ac:dyDescent="0.35">
      <c r="A106" s="547" t="s">
        <v>101</v>
      </c>
      <c r="B106" s="989" t="s">
        <v>204</v>
      </c>
      <c r="C106" s="990"/>
      <c r="D106" s="990"/>
      <c r="E106" s="990"/>
      <c r="F106" s="990"/>
      <c r="G106" s="990"/>
      <c r="H106" s="990"/>
      <c r="I106" s="990"/>
      <c r="J106" s="990"/>
      <c r="K106" s="990"/>
      <c r="L106" s="990"/>
      <c r="M106" s="990"/>
      <c r="N106" s="990"/>
      <c r="O106" s="990"/>
      <c r="P106" s="990"/>
      <c r="Q106" s="990"/>
      <c r="R106" s="990"/>
      <c r="S106" s="990"/>
      <c r="T106" s="990"/>
      <c r="U106" s="990"/>
      <c r="V106" s="990"/>
      <c r="W106" s="990"/>
      <c r="X106" s="990"/>
      <c r="Y106" s="990"/>
      <c r="Z106" s="990"/>
      <c r="AA106" s="990"/>
      <c r="AB106" s="991"/>
    </row>
    <row r="107" spans="1:28" ht="21.6" thickBot="1" x14ac:dyDescent="0.45">
      <c r="A107" s="687" t="s">
        <v>27</v>
      </c>
      <c r="B107" s="688"/>
      <c r="C107" s="691" t="s">
        <v>112</v>
      </c>
      <c r="D107" s="692"/>
      <c r="E107" s="693" t="s">
        <v>198</v>
      </c>
      <c r="F107" s="694"/>
      <c r="G107" s="694"/>
      <c r="H107" s="694"/>
      <c r="I107" s="694"/>
      <c r="J107" s="694"/>
      <c r="K107" s="694"/>
      <c r="L107" s="694"/>
      <c r="M107" s="694"/>
      <c r="N107" s="694"/>
      <c r="O107" s="694"/>
      <c r="P107" s="694"/>
      <c r="Q107" s="694"/>
      <c r="R107" s="694"/>
      <c r="S107" s="694"/>
      <c r="T107" s="694"/>
      <c r="U107" s="694"/>
      <c r="V107" s="694"/>
      <c r="W107" s="694"/>
      <c r="X107" s="694"/>
      <c r="Y107" s="694"/>
      <c r="Z107" s="694"/>
      <c r="AA107" s="694"/>
      <c r="AB107" s="695"/>
    </row>
    <row r="108" spans="1:28" ht="15" thickBot="1" x14ac:dyDescent="0.35">
      <c r="A108" s="689"/>
      <c r="B108" s="690"/>
      <c r="C108" s="696" t="s">
        <v>27</v>
      </c>
      <c r="D108" s="697"/>
      <c r="E108" s="698" t="s">
        <v>28</v>
      </c>
      <c r="F108" s="699"/>
      <c r="G108" s="698" t="s">
        <v>29</v>
      </c>
      <c r="H108" s="699"/>
      <c r="I108" s="698" t="s">
        <v>30</v>
      </c>
      <c r="J108" s="699"/>
      <c r="K108" s="698" t="s">
        <v>31</v>
      </c>
      <c r="L108" s="699"/>
      <c r="M108" s="698" t="s">
        <v>32</v>
      </c>
      <c r="N108" s="699"/>
      <c r="O108" s="698" t="s">
        <v>33</v>
      </c>
      <c r="P108" s="699"/>
      <c r="Q108" s="698" t="s">
        <v>34</v>
      </c>
      <c r="R108" s="699"/>
      <c r="S108" s="698" t="s">
        <v>35</v>
      </c>
      <c r="T108" s="699"/>
      <c r="U108" s="698" t="s">
        <v>36</v>
      </c>
      <c r="V108" s="699"/>
      <c r="W108" s="698" t="s">
        <v>37</v>
      </c>
      <c r="X108" s="699"/>
      <c r="Y108" s="698" t="s">
        <v>38</v>
      </c>
      <c r="Z108" s="699"/>
      <c r="AA108" s="698" t="s">
        <v>39</v>
      </c>
      <c r="AB108" s="699"/>
    </row>
    <row r="109" spans="1:28" ht="14.4" customHeight="1" x14ac:dyDescent="0.3">
      <c r="A109" s="625" t="s">
        <v>98</v>
      </c>
      <c r="B109" s="626"/>
      <c r="C109" s="680" t="s">
        <v>105</v>
      </c>
      <c r="D109" s="659"/>
      <c r="E109" s="660" t="s">
        <v>113</v>
      </c>
      <c r="F109" s="661"/>
      <c r="G109" s="661" t="s">
        <v>113</v>
      </c>
      <c r="H109" s="661"/>
      <c r="I109" s="661" t="s">
        <v>113</v>
      </c>
      <c r="J109" s="661"/>
      <c r="K109" s="661" t="s">
        <v>113</v>
      </c>
      <c r="L109" s="661"/>
      <c r="M109" s="661" t="s">
        <v>113</v>
      </c>
      <c r="N109" s="661"/>
      <c r="O109" s="661" t="s">
        <v>113</v>
      </c>
      <c r="P109" s="661"/>
      <c r="Q109" s="661" t="s">
        <v>113</v>
      </c>
      <c r="R109" s="661"/>
      <c r="S109" s="661" t="s">
        <v>113</v>
      </c>
      <c r="T109" s="661"/>
      <c r="U109" s="661" t="s">
        <v>113</v>
      </c>
      <c r="V109" s="661"/>
      <c r="W109" s="661" t="s">
        <v>113</v>
      </c>
      <c r="X109" s="661"/>
      <c r="Y109" s="661" t="s">
        <v>113</v>
      </c>
      <c r="Z109" s="661"/>
      <c r="AA109" s="661" t="s">
        <v>113</v>
      </c>
      <c r="AB109" s="663"/>
    </row>
    <row r="110" spans="1:28" ht="14.4" customHeight="1" x14ac:dyDescent="0.3">
      <c r="A110" s="627"/>
      <c r="B110" s="628"/>
      <c r="C110" s="655" t="s">
        <v>106</v>
      </c>
      <c r="D110" s="656"/>
      <c r="E110" s="672" t="s">
        <v>113</v>
      </c>
      <c r="F110" s="664"/>
      <c r="G110" s="664" t="s">
        <v>113</v>
      </c>
      <c r="H110" s="664"/>
      <c r="I110" s="664" t="s">
        <v>113</v>
      </c>
      <c r="J110" s="664"/>
      <c r="K110" s="664" t="s">
        <v>113</v>
      </c>
      <c r="L110" s="664"/>
      <c r="M110" s="664" t="s">
        <v>113</v>
      </c>
      <c r="N110" s="664"/>
      <c r="O110" s="664" t="s">
        <v>113</v>
      </c>
      <c r="P110" s="664"/>
      <c r="Q110" s="664" t="s">
        <v>113</v>
      </c>
      <c r="R110" s="664"/>
      <c r="S110" s="664" t="s">
        <v>113</v>
      </c>
      <c r="T110" s="664"/>
      <c r="U110" s="664" t="s">
        <v>113</v>
      </c>
      <c r="V110" s="664"/>
      <c r="W110" s="664" t="s">
        <v>113</v>
      </c>
      <c r="X110" s="664"/>
      <c r="Y110" s="664" t="s">
        <v>113</v>
      </c>
      <c r="Z110" s="664"/>
      <c r="AA110" s="664" t="s">
        <v>113</v>
      </c>
      <c r="AB110" s="667"/>
    </row>
    <row r="111" spans="1:28" ht="14.4" customHeight="1" x14ac:dyDescent="0.3">
      <c r="A111" s="627"/>
      <c r="B111" s="628"/>
      <c r="C111" s="655" t="s">
        <v>107</v>
      </c>
      <c r="D111" s="656"/>
      <c r="E111" s="672" t="s">
        <v>113</v>
      </c>
      <c r="F111" s="664"/>
      <c r="G111" s="664" t="s">
        <v>113</v>
      </c>
      <c r="H111" s="664"/>
      <c r="I111" s="664" t="s">
        <v>113</v>
      </c>
      <c r="J111" s="664"/>
      <c r="K111" s="664" t="s">
        <v>113</v>
      </c>
      <c r="L111" s="664"/>
      <c r="M111" s="664" t="s">
        <v>113</v>
      </c>
      <c r="N111" s="664"/>
      <c r="O111" s="664" t="s">
        <v>113</v>
      </c>
      <c r="P111" s="664"/>
      <c r="Q111" s="664" t="s">
        <v>113</v>
      </c>
      <c r="R111" s="664"/>
      <c r="S111" s="664" t="s">
        <v>113</v>
      </c>
      <c r="T111" s="664"/>
      <c r="U111" s="664" t="s">
        <v>113</v>
      </c>
      <c r="V111" s="664"/>
      <c r="W111" s="664" t="s">
        <v>113</v>
      </c>
      <c r="X111" s="664"/>
      <c r="Y111" s="664" t="s">
        <v>113</v>
      </c>
      <c r="Z111" s="664"/>
      <c r="AA111" s="664" t="s">
        <v>113</v>
      </c>
      <c r="AB111" s="667"/>
    </row>
    <row r="112" spans="1:28" ht="14.4" customHeight="1" x14ac:dyDescent="0.3">
      <c r="A112" s="627"/>
      <c r="B112" s="628"/>
      <c r="C112" s="655" t="s">
        <v>108</v>
      </c>
      <c r="D112" s="656"/>
      <c r="E112" s="672" t="s">
        <v>113</v>
      </c>
      <c r="F112" s="664"/>
      <c r="G112" s="664" t="s">
        <v>113</v>
      </c>
      <c r="H112" s="664"/>
      <c r="I112" s="664" t="s">
        <v>113</v>
      </c>
      <c r="J112" s="664"/>
      <c r="K112" s="664" t="s">
        <v>113</v>
      </c>
      <c r="L112" s="664"/>
      <c r="M112" s="664" t="s">
        <v>113</v>
      </c>
      <c r="N112" s="664"/>
      <c r="O112" s="664" t="s">
        <v>113</v>
      </c>
      <c r="P112" s="664"/>
      <c r="Q112" s="664" t="s">
        <v>113</v>
      </c>
      <c r="R112" s="664"/>
      <c r="S112" s="664" t="s">
        <v>113</v>
      </c>
      <c r="T112" s="664"/>
      <c r="U112" s="664" t="s">
        <v>113</v>
      </c>
      <c r="V112" s="664"/>
      <c r="W112" s="664" t="s">
        <v>113</v>
      </c>
      <c r="X112" s="664"/>
      <c r="Y112" s="664" t="s">
        <v>113</v>
      </c>
      <c r="Z112" s="664"/>
      <c r="AA112" s="664" t="s">
        <v>113</v>
      </c>
      <c r="AB112" s="667"/>
    </row>
    <row r="113" spans="1:28" ht="14.4" customHeight="1" x14ac:dyDescent="0.3">
      <c r="A113" s="627"/>
      <c r="B113" s="628"/>
      <c r="C113" s="655" t="s">
        <v>114</v>
      </c>
      <c r="D113" s="656"/>
      <c r="E113" s="672" t="s">
        <v>113</v>
      </c>
      <c r="F113" s="664"/>
      <c r="G113" s="664" t="s">
        <v>113</v>
      </c>
      <c r="H113" s="664"/>
      <c r="I113" s="664" t="s">
        <v>113</v>
      </c>
      <c r="J113" s="664"/>
      <c r="K113" s="664" t="s">
        <v>113</v>
      </c>
      <c r="L113" s="664"/>
      <c r="M113" s="664" t="s">
        <v>113</v>
      </c>
      <c r="N113" s="664"/>
      <c r="O113" s="664" t="s">
        <v>113</v>
      </c>
      <c r="P113" s="664"/>
      <c r="Q113" s="664" t="s">
        <v>113</v>
      </c>
      <c r="R113" s="664"/>
      <c r="S113" s="664" t="s">
        <v>113</v>
      </c>
      <c r="T113" s="664"/>
      <c r="U113" s="664" t="s">
        <v>113</v>
      </c>
      <c r="V113" s="664"/>
      <c r="W113" s="664" t="s">
        <v>113</v>
      </c>
      <c r="X113" s="664"/>
      <c r="Y113" s="664" t="s">
        <v>113</v>
      </c>
      <c r="Z113" s="664"/>
      <c r="AA113" s="664" t="s">
        <v>99</v>
      </c>
      <c r="AB113" s="667"/>
    </row>
    <row r="114" spans="1:28" ht="14.4" customHeight="1" x14ac:dyDescent="0.3">
      <c r="A114" s="627"/>
      <c r="B114" s="628"/>
      <c r="C114" s="655" t="s">
        <v>142</v>
      </c>
      <c r="D114" s="656"/>
      <c r="E114" s="672" t="s">
        <v>113</v>
      </c>
      <c r="F114" s="664"/>
      <c r="G114" s="664" t="s">
        <v>113</v>
      </c>
      <c r="H114" s="664"/>
      <c r="I114" s="664" t="s">
        <v>113</v>
      </c>
      <c r="J114" s="664"/>
      <c r="K114" s="664" t="s">
        <v>113</v>
      </c>
      <c r="L114" s="664"/>
      <c r="M114" s="664" t="s">
        <v>113</v>
      </c>
      <c r="N114" s="664"/>
      <c r="O114" s="664" t="s">
        <v>113</v>
      </c>
      <c r="P114" s="664"/>
      <c r="Q114" s="664" t="s">
        <v>113</v>
      </c>
      <c r="R114" s="664"/>
      <c r="S114" s="664" t="s">
        <v>113</v>
      </c>
      <c r="T114" s="664"/>
      <c r="U114" s="664" t="s">
        <v>113</v>
      </c>
      <c r="V114" s="664"/>
      <c r="W114" s="673" t="s">
        <v>155</v>
      </c>
      <c r="X114" s="673"/>
      <c r="Y114" s="664" t="s">
        <v>113</v>
      </c>
      <c r="Z114" s="664"/>
      <c r="AA114" s="664" t="s">
        <v>99</v>
      </c>
      <c r="AB114" s="667"/>
    </row>
    <row r="115" spans="1:28" ht="14.4" customHeight="1" x14ac:dyDescent="0.3">
      <c r="A115" s="627"/>
      <c r="B115" s="628"/>
      <c r="C115" s="655" t="s">
        <v>143</v>
      </c>
      <c r="D115" s="656"/>
      <c r="E115" s="672" t="s">
        <v>113</v>
      </c>
      <c r="F115" s="664"/>
      <c r="G115" s="664" t="s">
        <v>113</v>
      </c>
      <c r="H115" s="664"/>
      <c r="I115" s="664" t="s">
        <v>113</v>
      </c>
      <c r="J115" s="664"/>
      <c r="K115" s="664" t="s">
        <v>113</v>
      </c>
      <c r="L115" s="664"/>
      <c r="M115" s="664" t="s">
        <v>113</v>
      </c>
      <c r="N115" s="664"/>
      <c r="O115" s="664" t="s">
        <v>113</v>
      </c>
      <c r="P115" s="664"/>
      <c r="Q115" s="664" t="s">
        <v>113</v>
      </c>
      <c r="R115" s="664"/>
      <c r="S115" s="664" t="s">
        <v>113</v>
      </c>
      <c r="T115" s="664"/>
      <c r="U115" s="664" t="s">
        <v>113</v>
      </c>
      <c r="V115" s="664"/>
      <c r="W115" s="664" t="s">
        <v>113</v>
      </c>
      <c r="X115" s="664"/>
      <c r="Y115" s="664" t="s">
        <v>113</v>
      </c>
      <c r="Z115" s="664"/>
      <c r="AA115" s="664" t="s">
        <v>99</v>
      </c>
      <c r="AB115" s="667"/>
    </row>
    <row r="116" spans="1:28" ht="14.4" customHeight="1" x14ac:dyDescent="0.3">
      <c r="A116" s="627"/>
      <c r="B116" s="628"/>
      <c r="C116" s="655" t="s">
        <v>144</v>
      </c>
      <c r="D116" s="656"/>
      <c r="E116" s="672" t="s">
        <v>113</v>
      </c>
      <c r="F116" s="664"/>
      <c r="G116" s="664" t="s">
        <v>113</v>
      </c>
      <c r="H116" s="664"/>
      <c r="I116" s="664" t="s">
        <v>113</v>
      </c>
      <c r="J116" s="664"/>
      <c r="K116" s="664" t="s">
        <v>113</v>
      </c>
      <c r="L116" s="664"/>
      <c r="M116" s="664" t="s">
        <v>113</v>
      </c>
      <c r="N116" s="664"/>
      <c r="O116" s="664" t="s">
        <v>113</v>
      </c>
      <c r="P116" s="664"/>
      <c r="Q116" s="664" t="s">
        <v>113</v>
      </c>
      <c r="R116" s="664"/>
      <c r="S116" s="673" t="s">
        <v>154</v>
      </c>
      <c r="T116" s="673"/>
      <c r="U116" s="664" t="s">
        <v>113</v>
      </c>
      <c r="V116" s="664"/>
      <c r="W116" s="664" t="s">
        <v>113</v>
      </c>
      <c r="X116" s="664"/>
      <c r="Y116" s="664" t="s">
        <v>113</v>
      </c>
      <c r="Z116" s="664"/>
      <c r="AA116" s="664" t="s">
        <v>99</v>
      </c>
      <c r="AB116" s="667"/>
    </row>
    <row r="117" spans="1:28" ht="14.4" customHeight="1" x14ac:dyDescent="0.3">
      <c r="A117" s="627"/>
      <c r="B117" s="628"/>
      <c r="C117" s="655" t="s">
        <v>145</v>
      </c>
      <c r="D117" s="656"/>
      <c r="E117" s="672" t="s">
        <v>113</v>
      </c>
      <c r="F117" s="664"/>
      <c r="G117" s="664" t="s">
        <v>113</v>
      </c>
      <c r="H117" s="664"/>
      <c r="I117" s="664" t="s">
        <v>113</v>
      </c>
      <c r="J117" s="664"/>
      <c r="K117" s="664" t="s">
        <v>113</v>
      </c>
      <c r="L117" s="664"/>
      <c r="M117" s="664" t="s">
        <v>113</v>
      </c>
      <c r="N117" s="664"/>
      <c r="O117" s="664" t="s">
        <v>113</v>
      </c>
      <c r="P117" s="664"/>
      <c r="Q117" s="664" t="s">
        <v>113</v>
      </c>
      <c r="R117" s="664"/>
      <c r="S117" s="664" t="s">
        <v>113</v>
      </c>
      <c r="T117" s="664"/>
      <c r="U117" s="673" t="s">
        <v>119</v>
      </c>
      <c r="V117" s="673"/>
      <c r="W117" s="664" t="s">
        <v>113</v>
      </c>
      <c r="X117" s="664"/>
      <c r="Y117" s="664" t="s">
        <v>113</v>
      </c>
      <c r="Z117" s="664"/>
      <c r="AA117" s="664" t="s">
        <v>99</v>
      </c>
      <c r="AB117" s="667"/>
    </row>
    <row r="118" spans="1:28" ht="14.4" customHeight="1" x14ac:dyDescent="0.3">
      <c r="A118" s="627"/>
      <c r="B118" s="628"/>
      <c r="C118" s="655" t="s">
        <v>146</v>
      </c>
      <c r="D118" s="656"/>
      <c r="E118" s="672" t="s">
        <v>113</v>
      </c>
      <c r="F118" s="664"/>
      <c r="G118" s="664" t="s">
        <v>113</v>
      </c>
      <c r="H118" s="664"/>
      <c r="I118" s="664" t="s">
        <v>113</v>
      </c>
      <c r="J118" s="664"/>
      <c r="K118" s="664" t="s">
        <v>113</v>
      </c>
      <c r="L118" s="664"/>
      <c r="M118" s="664" t="s">
        <v>113</v>
      </c>
      <c r="N118" s="664"/>
      <c r="O118" s="664" t="s">
        <v>113</v>
      </c>
      <c r="P118" s="664"/>
      <c r="Q118" s="664" t="s">
        <v>113</v>
      </c>
      <c r="R118" s="664"/>
      <c r="S118" s="664" t="s">
        <v>113</v>
      </c>
      <c r="T118" s="664"/>
      <c r="U118" s="664" t="s">
        <v>113</v>
      </c>
      <c r="V118" s="664"/>
      <c r="W118" s="664" t="s">
        <v>113</v>
      </c>
      <c r="X118" s="664"/>
      <c r="Y118" s="664" t="s">
        <v>113</v>
      </c>
      <c r="Z118" s="664"/>
      <c r="AA118" s="664" t="s">
        <v>99</v>
      </c>
      <c r="AB118" s="667"/>
    </row>
    <row r="119" spans="1:28" ht="14.4" customHeight="1" x14ac:dyDescent="0.3">
      <c r="A119" s="627"/>
      <c r="B119" s="628"/>
      <c r="C119" s="655" t="s">
        <v>147</v>
      </c>
      <c r="D119" s="656"/>
      <c r="E119" s="672" t="s">
        <v>113</v>
      </c>
      <c r="F119" s="664"/>
      <c r="G119" s="664" t="s">
        <v>113</v>
      </c>
      <c r="H119" s="664"/>
      <c r="I119" s="664" t="s">
        <v>113</v>
      </c>
      <c r="J119" s="664"/>
      <c r="K119" s="664" t="s">
        <v>113</v>
      </c>
      <c r="L119" s="664"/>
      <c r="M119" s="664" t="s">
        <v>113</v>
      </c>
      <c r="N119" s="664"/>
      <c r="O119" s="664" t="s">
        <v>113</v>
      </c>
      <c r="P119" s="664"/>
      <c r="Q119" s="664" t="s">
        <v>113</v>
      </c>
      <c r="R119" s="664"/>
      <c r="S119" s="664" t="s">
        <v>113</v>
      </c>
      <c r="T119" s="664"/>
      <c r="U119" s="664" t="s">
        <v>113</v>
      </c>
      <c r="V119" s="664"/>
      <c r="W119" s="664" t="s">
        <v>113</v>
      </c>
      <c r="X119" s="664"/>
      <c r="Y119" s="664" t="s">
        <v>113</v>
      </c>
      <c r="Z119" s="664"/>
      <c r="AA119" s="664" t="s">
        <v>99</v>
      </c>
      <c r="AB119" s="667"/>
    </row>
    <row r="120" spans="1:28" ht="14.4" customHeight="1" x14ac:dyDescent="0.3">
      <c r="A120" s="627"/>
      <c r="B120" s="628"/>
      <c r="C120" s="655" t="s">
        <v>148</v>
      </c>
      <c r="D120" s="656"/>
      <c r="E120" s="672" t="s">
        <v>113</v>
      </c>
      <c r="F120" s="664"/>
      <c r="G120" s="664" t="s">
        <v>113</v>
      </c>
      <c r="H120" s="664"/>
      <c r="I120" s="664" t="s">
        <v>113</v>
      </c>
      <c r="J120" s="664"/>
      <c r="K120" s="664" t="s">
        <v>113</v>
      </c>
      <c r="L120" s="664"/>
      <c r="M120" s="664" t="s">
        <v>113</v>
      </c>
      <c r="N120" s="664"/>
      <c r="O120" s="664" t="s">
        <v>113</v>
      </c>
      <c r="P120" s="664"/>
      <c r="Q120" s="664" t="s">
        <v>113</v>
      </c>
      <c r="R120" s="664"/>
      <c r="S120" s="664" t="s">
        <v>113</v>
      </c>
      <c r="T120" s="664"/>
      <c r="U120" s="664" t="s">
        <v>113</v>
      </c>
      <c r="V120" s="664"/>
      <c r="W120" s="664" t="s">
        <v>113</v>
      </c>
      <c r="X120" s="664"/>
      <c r="Y120" s="664" t="s">
        <v>113</v>
      </c>
      <c r="Z120" s="664"/>
      <c r="AA120" s="664" t="s">
        <v>99</v>
      </c>
      <c r="AB120" s="667"/>
    </row>
    <row r="121" spans="1:28" ht="14.4" customHeight="1" x14ac:dyDescent="0.3">
      <c r="A121" s="627"/>
      <c r="B121" s="628"/>
      <c r="C121" s="655" t="s">
        <v>149</v>
      </c>
      <c r="D121" s="656"/>
      <c r="E121" s="672" t="s">
        <v>113</v>
      </c>
      <c r="F121" s="664"/>
      <c r="G121" s="664" t="s">
        <v>113</v>
      </c>
      <c r="H121" s="664"/>
      <c r="I121" s="664" t="s">
        <v>113</v>
      </c>
      <c r="J121" s="664"/>
      <c r="K121" s="664" t="s">
        <v>113</v>
      </c>
      <c r="L121" s="664"/>
      <c r="M121" s="664" t="s">
        <v>113</v>
      </c>
      <c r="N121" s="664"/>
      <c r="O121" s="664" t="s">
        <v>113</v>
      </c>
      <c r="P121" s="664"/>
      <c r="Q121" s="664" t="s">
        <v>113</v>
      </c>
      <c r="R121" s="664"/>
      <c r="S121" s="664" t="s">
        <v>113</v>
      </c>
      <c r="T121" s="664"/>
      <c r="U121" s="664" t="s">
        <v>113</v>
      </c>
      <c r="V121" s="664"/>
      <c r="W121" s="673" t="s">
        <v>156</v>
      </c>
      <c r="X121" s="673"/>
      <c r="Y121" s="664" t="s">
        <v>113</v>
      </c>
      <c r="Z121" s="664"/>
      <c r="AA121" s="664" t="s">
        <v>99</v>
      </c>
      <c r="AB121" s="667"/>
    </row>
    <row r="122" spans="1:28" ht="14.4" customHeight="1" x14ac:dyDescent="0.3">
      <c r="A122" s="627"/>
      <c r="B122" s="628"/>
      <c r="C122" s="655" t="s">
        <v>152</v>
      </c>
      <c r="D122" s="656"/>
      <c r="E122" s="672" t="s">
        <v>113</v>
      </c>
      <c r="F122" s="664"/>
      <c r="G122" s="664" t="s">
        <v>113</v>
      </c>
      <c r="H122" s="664"/>
      <c r="I122" s="664" t="s">
        <v>113</v>
      </c>
      <c r="J122" s="664"/>
      <c r="K122" s="673" t="s">
        <v>124</v>
      </c>
      <c r="L122" s="673"/>
      <c r="M122" s="664" t="s">
        <v>113</v>
      </c>
      <c r="N122" s="664"/>
      <c r="O122" s="664" t="s">
        <v>113</v>
      </c>
      <c r="P122" s="664"/>
      <c r="Q122" s="664" t="s">
        <v>113</v>
      </c>
      <c r="R122" s="664"/>
      <c r="S122" s="664" t="s">
        <v>113</v>
      </c>
      <c r="T122" s="664"/>
      <c r="U122" s="664" t="s">
        <v>113</v>
      </c>
      <c r="V122" s="664"/>
      <c r="W122" s="664" t="s">
        <v>113</v>
      </c>
      <c r="X122" s="664"/>
      <c r="Y122" s="664" t="s">
        <v>113</v>
      </c>
      <c r="Z122" s="664"/>
      <c r="AA122" s="664" t="s">
        <v>99</v>
      </c>
      <c r="AB122" s="667"/>
    </row>
    <row r="123" spans="1:28" ht="14.4" customHeight="1" x14ac:dyDescent="0.3">
      <c r="A123" s="627"/>
      <c r="B123" s="628"/>
      <c r="C123" s="655" t="s">
        <v>151</v>
      </c>
      <c r="D123" s="656"/>
      <c r="E123" s="672" t="s">
        <v>113</v>
      </c>
      <c r="F123" s="664"/>
      <c r="G123" s="664" t="s">
        <v>113</v>
      </c>
      <c r="H123" s="664"/>
      <c r="I123" s="664" t="s">
        <v>113</v>
      </c>
      <c r="J123" s="664"/>
      <c r="K123" s="664" t="s">
        <v>113</v>
      </c>
      <c r="L123" s="664"/>
      <c r="M123" s="664" t="s">
        <v>113</v>
      </c>
      <c r="N123" s="664"/>
      <c r="O123" s="664" t="s">
        <v>113</v>
      </c>
      <c r="P123" s="664"/>
      <c r="Q123" s="664" t="s">
        <v>113</v>
      </c>
      <c r="R123" s="664"/>
      <c r="S123" s="664" t="s">
        <v>113</v>
      </c>
      <c r="T123" s="664"/>
      <c r="U123" s="664" t="s">
        <v>113</v>
      </c>
      <c r="V123" s="664"/>
      <c r="W123" s="664" t="s">
        <v>113</v>
      </c>
      <c r="X123" s="664"/>
      <c r="Y123" s="664" t="s">
        <v>113</v>
      </c>
      <c r="Z123" s="664"/>
      <c r="AA123" s="664" t="s">
        <v>99</v>
      </c>
      <c r="AB123" s="667"/>
    </row>
    <row r="124" spans="1:28" ht="14.4" customHeight="1" x14ac:dyDescent="0.3">
      <c r="A124" s="627"/>
      <c r="B124" s="628"/>
      <c r="C124" s="655" t="s">
        <v>153</v>
      </c>
      <c r="D124" s="656" t="s">
        <v>153</v>
      </c>
      <c r="E124" s="672" t="s">
        <v>113</v>
      </c>
      <c r="F124" s="664"/>
      <c r="G124" s="672" t="s">
        <v>113</v>
      </c>
      <c r="H124" s="664"/>
      <c r="I124" s="664" t="s">
        <v>113</v>
      </c>
      <c r="J124" s="664"/>
      <c r="K124" s="664" t="s">
        <v>113</v>
      </c>
      <c r="L124" s="664"/>
      <c r="M124" s="664" t="s">
        <v>113</v>
      </c>
      <c r="N124" s="664"/>
      <c r="O124" s="664" t="s">
        <v>113</v>
      </c>
      <c r="P124" s="664"/>
      <c r="Q124" s="664" t="s">
        <v>113</v>
      </c>
      <c r="R124" s="664"/>
      <c r="S124" s="664" t="s">
        <v>113</v>
      </c>
      <c r="T124" s="664"/>
      <c r="U124" s="664" t="s">
        <v>113</v>
      </c>
      <c r="V124" s="664"/>
      <c r="W124" s="664" t="s">
        <v>113</v>
      </c>
      <c r="X124" s="664"/>
      <c r="Y124" s="664" t="s">
        <v>113</v>
      </c>
      <c r="Z124" s="664"/>
      <c r="AA124" s="664" t="s">
        <v>113</v>
      </c>
      <c r="AB124" s="667"/>
    </row>
    <row r="125" spans="1:28" ht="14.4" customHeight="1" thickBot="1" x14ac:dyDescent="0.35">
      <c r="A125" s="629"/>
      <c r="B125" s="630"/>
      <c r="C125" s="655" t="s">
        <v>157</v>
      </c>
      <c r="D125" s="656"/>
      <c r="E125" s="703" t="s">
        <v>113</v>
      </c>
      <c r="F125" s="670"/>
      <c r="G125" s="670" t="s">
        <v>113</v>
      </c>
      <c r="H125" s="670"/>
      <c r="I125" s="670" t="s">
        <v>113</v>
      </c>
      <c r="J125" s="670"/>
      <c r="K125" s="670" t="s">
        <v>113</v>
      </c>
      <c r="L125" s="670"/>
      <c r="M125" s="670" t="s">
        <v>113</v>
      </c>
      <c r="N125" s="670"/>
      <c r="O125" s="670" t="s">
        <v>113</v>
      </c>
      <c r="P125" s="670"/>
      <c r="Q125" s="670" t="s">
        <v>113</v>
      </c>
      <c r="R125" s="670"/>
      <c r="S125" s="670" t="s">
        <v>113</v>
      </c>
      <c r="T125" s="670"/>
      <c r="U125" s="670" t="s">
        <v>113</v>
      </c>
      <c r="V125" s="670"/>
      <c r="W125" s="670" t="s">
        <v>113</v>
      </c>
      <c r="X125" s="670"/>
      <c r="Y125" s="670" t="s">
        <v>113</v>
      </c>
      <c r="Z125" s="670"/>
      <c r="AA125" s="669" t="s">
        <v>158</v>
      </c>
      <c r="AB125" s="702"/>
    </row>
    <row r="126" spans="1:28" ht="15" customHeight="1" x14ac:dyDescent="0.3">
      <c r="A126" s="631" t="s">
        <v>200</v>
      </c>
      <c r="B126" s="632"/>
      <c r="C126" s="658" t="s">
        <v>214</v>
      </c>
      <c r="D126" s="659"/>
      <c r="E126" s="660" t="s">
        <v>113</v>
      </c>
      <c r="F126" s="661"/>
      <c r="G126" s="662" t="s">
        <v>113</v>
      </c>
      <c r="H126" s="661"/>
      <c r="I126" s="662" t="s">
        <v>113</v>
      </c>
      <c r="J126" s="661"/>
      <c r="K126" s="662" t="s">
        <v>113</v>
      </c>
      <c r="L126" s="661"/>
      <c r="M126" s="662" t="s">
        <v>113</v>
      </c>
      <c r="N126" s="661"/>
      <c r="O126" s="662" t="s">
        <v>113</v>
      </c>
      <c r="P126" s="661"/>
      <c r="Q126" s="678" t="s">
        <v>215</v>
      </c>
      <c r="R126" s="679"/>
      <c r="S126" s="662" t="s">
        <v>113</v>
      </c>
      <c r="T126" s="661"/>
      <c r="U126" s="662" t="s">
        <v>113</v>
      </c>
      <c r="V126" s="661"/>
      <c r="W126" s="662" t="s">
        <v>113</v>
      </c>
      <c r="X126" s="661"/>
      <c r="Y126" s="662" t="s">
        <v>113</v>
      </c>
      <c r="Z126" s="661"/>
      <c r="AA126" s="662" t="s">
        <v>113</v>
      </c>
      <c r="AB126" s="663"/>
    </row>
    <row r="127" spans="1:28" ht="15" customHeight="1" x14ac:dyDescent="0.3">
      <c r="A127" s="633"/>
      <c r="B127" s="634"/>
      <c r="C127" s="655" t="s">
        <v>302</v>
      </c>
      <c r="D127" s="656"/>
      <c r="E127" s="657" t="s">
        <v>113</v>
      </c>
      <c r="F127" s="647"/>
      <c r="G127" s="646" t="s">
        <v>113</v>
      </c>
      <c r="H127" s="647"/>
      <c r="I127" s="646" t="s">
        <v>113</v>
      </c>
      <c r="J127" s="647"/>
      <c r="K127" s="646" t="s">
        <v>113</v>
      </c>
      <c r="L127" s="647"/>
      <c r="M127" s="646" t="s">
        <v>113</v>
      </c>
      <c r="N127" s="647"/>
      <c r="O127" s="646" t="s">
        <v>113</v>
      </c>
      <c r="P127" s="647"/>
      <c r="Q127" s="646" t="s">
        <v>113</v>
      </c>
      <c r="R127" s="647"/>
      <c r="S127" s="646" t="s">
        <v>113</v>
      </c>
      <c r="T127" s="647"/>
      <c r="U127" s="700" t="s">
        <v>446</v>
      </c>
      <c r="V127" s="701"/>
      <c r="W127" s="646" t="s">
        <v>113</v>
      </c>
      <c r="X127" s="647"/>
      <c r="Y127" s="646" t="s">
        <v>113</v>
      </c>
      <c r="Z127" s="647"/>
      <c r="AA127" s="646" t="s">
        <v>113</v>
      </c>
      <c r="AB127" s="648"/>
    </row>
    <row r="128" spans="1:28" ht="15" customHeight="1" x14ac:dyDescent="0.3">
      <c r="A128" s="633"/>
      <c r="B128" s="634"/>
      <c r="C128" s="655" t="s">
        <v>309</v>
      </c>
      <c r="D128" s="656"/>
      <c r="E128" s="657" t="s">
        <v>113</v>
      </c>
      <c r="F128" s="647"/>
      <c r="G128" s="646" t="s">
        <v>113</v>
      </c>
      <c r="H128" s="647"/>
      <c r="I128" s="646" t="s">
        <v>113</v>
      </c>
      <c r="J128" s="647"/>
      <c r="K128" s="646" t="s">
        <v>113</v>
      </c>
      <c r="L128" s="647"/>
      <c r="M128" s="673" t="s">
        <v>447</v>
      </c>
      <c r="N128" s="673"/>
      <c r="O128" s="646" t="s">
        <v>113</v>
      </c>
      <c r="P128" s="647"/>
      <c r="Q128" s="646" t="s">
        <v>113</v>
      </c>
      <c r="R128" s="647"/>
      <c r="S128" s="646" t="s">
        <v>113</v>
      </c>
      <c r="T128" s="647"/>
      <c r="U128" s="646" t="s">
        <v>113</v>
      </c>
      <c r="V128" s="647"/>
      <c r="W128" s="646" t="s">
        <v>113</v>
      </c>
      <c r="X128" s="647"/>
      <c r="Y128" s="646" t="s">
        <v>113</v>
      </c>
      <c r="Z128" s="647"/>
      <c r="AA128" s="646" t="s">
        <v>113</v>
      </c>
      <c r="AB128" s="648"/>
    </row>
    <row r="129" spans="1:28" ht="15" customHeight="1" x14ac:dyDescent="0.3">
      <c r="A129" s="633"/>
      <c r="B129" s="634"/>
      <c r="C129" s="655" t="s">
        <v>310</v>
      </c>
      <c r="D129" s="656"/>
      <c r="E129" s="657" t="s">
        <v>113</v>
      </c>
      <c r="F129" s="647"/>
      <c r="G129" s="646" t="s">
        <v>113</v>
      </c>
      <c r="H129" s="647"/>
      <c r="I129" s="673" t="s">
        <v>439</v>
      </c>
      <c r="J129" s="673"/>
      <c r="K129" s="646" t="s">
        <v>113</v>
      </c>
      <c r="L129" s="647"/>
      <c r="M129" s="646" t="s">
        <v>113</v>
      </c>
      <c r="N129" s="647"/>
      <c r="O129" s="646" t="s">
        <v>113</v>
      </c>
      <c r="P129" s="647"/>
      <c r="Q129" s="646" t="s">
        <v>113</v>
      </c>
      <c r="R129" s="647"/>
      <c r="S129" s="646" t="s">
        <v>113</v>
      </c>
      <c r="T129" s="647"/>
      <c r="U129" s="646" t="s">
        <v>113</v>
      </c>
      <c r="V129" s="647"/>
      <c r="W129" s="646" t="s">
        <v>113</v>
      </c>
      <c r="X129" s="647"/>
      <c r="Y129" s="646" t="s">
        <v>113</v>
      </c>
      <c r="Z129" s="647"/>
      <c r="AA129" s="646" t="s">
        <v>113</v>
      </c>
      <c r="AB129" s="648"/>
    </row>
    <row r="130" spans="1:28" ht="15" customHeight="1" x14ac:dyDescent="0.3">
      <c r="A130" s="633"/>
      <c r="B130" s="634"/>
      <c r="C130" s="655" t="s">
        <v>448</v>
      </c>
      <c r="D130" s="656"/>
      <c r="E130" s="657" t="s">
        <v>113</v>
      </c>
      <c r="F130" s="647"/>
      <c r="G130" s="646" t="s">
        <v>113</v>
      </c>
      <c r="H130" s="647"/>
      <c r="I130" s="664" t="s">
        <v>113</v>
      </c>
      <c r="J130" s="664"/>
      <c r="K130" s="646" t="s">
        <v>113</v>
      </c>
      <c r="L130" s="647"/>
      <c r="M130" s="646" t="s">
        <v>113</v>
      </c>
      <c r="N130" s="647"/>
      <c r="O130" s="646" t="s">
        <v>113</v>
      </c>
      <c r="P130" s="647"/>
      <c r="Q130" s="646" t="s">
        <v>113</v>
      </c>
      <c r="R130" s="647"/>
      <c r="S130" s="646" t="s">
        <v>113</v>
      </c>
      <c r="T130" s="647"/>
      <c r="U130" s="646" t="s">
        <v>113</v>
      </c>
      <c r="V130" s="647"/>
      <c r="W130" s="646" t="s">
        <v>113</v>
      </c>
      <c r="X130" s="647"/>
      <c r="Y130" s="646" t="s">
        <v>113</v>
      </c>
      <c r="Z130" s="647"/>
      <c r="AA130" s="664" t="s">
        <v>99</v>
      </c>
      <c r="AB130" s="667"/>
    </row>
    <row r="131" spans="1:28" ht="15" customHeight="1" x14ac:dyDescent="0.3">
      <c r="A131" s="633"/>
      <c r="B131" s="634"/>
      <c r="C131" s="655" t="s">
        <v>449</v>
      </c>
      <c r="D131" s="656"/>
      <c r="E131" s="657" t="s">
        <v>113</v>
      </c>
      <c r="F131" s="647"/>
      <c r="G131" s="646" t="s">
        <v>113</v>
      </c>
      <c r="H131" s="647"/>
      <c r="I131" s="664" t="s">
        <v>113</v>
      </c>
      <c r="J131" s="664"/>
      <c r="K131" s="646" t="s">
        <v>113</v>
      </c>
      <c r="L131" s="647"/>
      <c r="M131" s="646" t="s">
        <v>113</v>
      </c>
      <c r="N131" s="647"/>
      <c r="O131" s="646" t="s">
        <v>113</v>
      </c>
      <c r="P131" s="647"/>
      <c r="Q131" s="646" t="s">
        <v>113</v>
      </c>
      <c r="R131" s="647"/>
      <c r="S131" s="646" t="s">
        <v>113</v>
      </c>
      <c r="T131" s="647"/>
      <c r="U131" s="646" t="s">
        <v>113</v>
      </c>
      <c r="V131" s="647"/>
      <c r="W131" s="646" t="s">
        <v>113</v>
      </c>
      <c r="X131" s="647"/>
      <c r="Y131" s="646" t="s">
        <v>113</v>
      </c>
      <c r="Z131" s="647"/>
      <c r="AA131" s="664" t="s">
        <v>99</v>
      </c>
      <c r="AB131" s="667"/>
    </row>
    <row r="132" spans="1:28" ht="15" customHeight="1" thickBot="1" x14ac:dyDescent="0.35">
      <c r="A132" s="633"/>
      <c r="B132" s="634"/>
      <c r="C132" s="655" t="s">
        <v>450</v>
      </c>
      <c r="D132" s="656"/>
      <c r="E132" s="657" t="s">
        <v>113</v>
      </c>
      <c r="F132" s="647"/>
      <c r="G132" s="646" t="s">
        <v>113</v>
      </c>
      <c r="H132" s="647"/>
      <c r="I132" s="664" t="s">
        <v>113</v>
      </c>
      <c r="J132" s="664"/>
      <c r="K132" s="646" t="s">
        <v>113</v>
      </c>
      <c r="L132" s="647"/>
      <c r="M132" s="646" t="s">
        <v>113</v>
      </c>
      <c r="N132" s="647"/>
      <c r="O132" s="646" t="s">
        <v>113</v>
      </c>
      <c r="P132" s="647"/>
      <c r="Q132" s="646" t="s">
        <v>113</v>
      </c>
      <c r="R132" s="647"/>
      <c r="S132" s="646" t="s">
        <v>113</v>
      </c>
      <c r="T132" s="647"/>
      <c r="U132" s="646" t="s">
        <v>113</v>
      </c>
      <c r="V132" s="647"/>
      <c r="W132" s="646" t="s">
        <v>113</v>
      </c>
      <c r="X132" s="647"/>
      <c r="Y132" s="646" t="s">
        <v>113</v>
      </c>
      <c r="Z132" s="647"/>
      <c r="AA132" s="664" t="s">
        <v>99</v>
      </c>
      <c r="AB132" s="667"/>
    </row>
    <row r="133" spans="1:28" ht="15" customHeight="1" x14ac:dyDescent="0.3">
      <c r="A133" s="625" t="s">
        <v>100</v>
      </c>
      <c r="B133" s="626"/>
      <c r="C133" s="658" t="s">
        <v>111</v>
      </c>
      <c r="D133" s="659" t="s">
        <v>111</v>
      </c>
      <c r="E133" s="660" t="s">
        <v>113</v>
      </c>
      <c r="F133" s="661"/>
      <c r="G133" s="662" t="s">
        <v>113</v>
      </c>
      <c r="H133" s="661"/>
      <c r="I133" s="662" t="s">
        <v>113</v>
      </c>
      <c r="J133" s="661"/>
      <c r="K133" s="662" t="s">
        <v>113</v>
      </c>
      <c r="L133" s="661"/>
      <c r="M133" s="662" t="s">
        <v>113</v>
      </c>
      <c r="N133" s="661"/>
      <c r="O133" s="662" t="s">
        <v>113</v>
      </c>
      <c r="P133" s="661"/>
      <c r="Q133" s="662" t="s">
        <v>113</v>
      </c>
      <c r="R133" s="661"/>
      <c r="S133" s="662" t="s">
        <v>113</v>
      </c>
      <c r="T133" s="661"/>
      <c r="U133" s="662" t="s">
        <v>113</v>
      </c>
      <c r="V133" s="661"/>
      <c r="W133" s="662" t="s">
        <v>113</v>
      </c>
      <c r="X133" s="661"/>
      <c r="Y133" s="662" t="s">
        <v>113</v>
      </c>
      <c r="Z133" s="661"/>
      <c r="AA133" s="662" t="s">
        <v>113</v>
      </c>
      <c r="AB133" s="663"/>
    </row>
    <row r="134" spans="1:28" ht="15" customHeight="1" x14ac:dyDescent="0.3">
      <c r="A134" s="627"/>
      <c r="B134" s="628"/>
      <c r="C134" s="655" t="s">
        <v>110</v>
      </c>
      <c r="D134" s="656" t="s">
        <v>110</v>
      </c>
      <c r="E134" s="657" t="s">
        <v>113</v>
      </c>
      <c r="F134" s="647"/>
      <c r="G134" s="646" t="s">
        <v>113</v>
      </c>
      <c r="H134" s="647"/>
      <c r="I134" s="646" t="s">
        <v>113</v>
      </c>
      <c r="J134" s="647"/>
      <c r="K134" s="646" t="s">
        <v>113</v>
      </c>
      <c r="L134" s="647"/>
      <c r="M134" s="646" t="s">
        <v>113</v>
      </c>
      <c r="N134" s="647"/>
      <c r="O134" s="646" t="s">
        <v>113</v>
      </c>
      <c r="P134" s="647"/>
      <c r="Q134" s="646" t="s">
        <v>113</v>
      </c>
      <c r="R134" s="647"/>
      <c r="S134" s="646" t="s">
        <v>113</v>
      </c>
      <c r="T134" s="647"/>
      <c r="U134" s="646" t="s">
        <v>113</v>
      </c>
      <c r="V134" s="647"/>
      <c r="W134" s="646" t="s">
        <v>113</v>
      </c>
      <c r="X134" s="647"/>
      <c r="Y134" s="646" t="s">
        <v>113</v>
      </c>
      <c r="Z134" s="647"/>
      <c r="AA134" s="646" t="s">
        <v>113</v>
      </c>
      <c r="AB134" s="648"/>
    </row>
    <row r="135" spans="1:28" ht="15.75" customHeight="1" thickBot="1" x14ac:dyDescent="0.35">
      <c r="A135" s="629"/>
      <c r="B135" s="630"/>
      <c r="C135" s="649" t="s">
        <v>140</v>
      </c>
      <c r="D135" s="650" t="s">
        <v>110</v>
      </c>
      <c r="E135" s="651" t="s">
        <v>113</v>
      </c>
      <c r="F135" s="652"/>
      <c r="G135" s="653" t="s">
        <v>113</v>
      </c>
      <c r="H135" s="652"/>
      <c r="I135" s="653" t="s">
        <v>113</v>
      </c>
      <c r="J135" s="652"/>
      <c r="K135" s="653" t="s">
        <v>113</v>
      </c>
      <c r="L135" s="652"/>
      <c r="M135" s="653" t="s">
        <v>113</v>
      </c>
      <c r="N135" s="652"/>
      <c r="O135" s="653" t="s">
        <v>113</v>
      </c>
      <c r="P135" s="652"/>
      <c r="Q135" s="653" t="s">
        <v>113</v>
      </c>
      <c r="R135" s="652"/>
      <c r="S135" s="653" t="s">
        <v>113</v>
      </c>
      <c r="T135" s="652"/>
      <c r="U135" s="653" t="s">
        <v>113</v>
      </c>
      <c r="V135" s="652"/>
      <c r="W135" s="653" t="s">
        <v>113</v>
      </c>
      <c r="X135" s="652"/>
      <c r="Y135" s="653" t="s">
        <v>113</v>
      </c>
      <c r="Z135" s="652"/>
      <c r="AA135" s="653" t="s">
        <v>113</v>
      </c>
      <c r="AB135" s="654"/>
    </row>
    <row r="137" spans="1:28" ht="15.75" customHeight="1" thickBot="1" x14ac:dyDescent="0.35"/>
    <row r="138" spans="1:28" ht="27" customHeight="1" thickBot="1" x14ac:dyDescent="0.55000000000000004">
      <c r="A138" s="723" t="s">
        <v>451</v>
      </c>
      <c r="B138" s="724"/>
      <c r="C138" s="724"/>
      <c r="D138" s="724"/>
      <c r="E138" s="724"/>
      <c r="F138" s="724"/>
      <c r="G138" s="724"/>
      <c r="H138" s="724"/>
      <c r="I138" s="724"/>
      <c r="J138" s="724"/>
      <c r="K138" s="724"/>
      <c r="L138" s="724"/>
      <c r="M138" s="724"/>
      <c r="N138" s="724"/>
      <c r="O138" s="724"/>
      <c r="P138" s="724"/>
      <c r="Q138" s="724"/>
      <c r="R138" s="724"/>
      <c r="S138" s="724"/>
      <c r="T138" s="724"/>
      <c r="U138" s="724"/>
      <c r="V138" s="724"/>
      <c r="W138" s="724"/>
      <c r="X138" s="724"/>
      <c r="Y138" s="724"/>
      <c r="Z138" s="724"/>
      <c r="AA138" s="724"/>
      <c r="AB138" s="725"/>
    </row>
    <row r="139" spans="1:28" x14ac:dyDescent="0.3">
      <c r="A139" s="726" t="s">
        <v>10</v>
      </c>
      <c r="B139" s="726" t="s">
        <v>11</v>
      </c>
      <c r="C139" s="729" t="s">
        <v>57</v>
      </c>
      <c r="D139" s="730"/>
      <c r="E139" s="674" t="s">
        <v>28</v>
      </c>
      <c r="F139" s="675"/>
      <c r="G139" s="674" t="s">
        <v>29</v>
      </c>
      <c r="H139" s="675"/>
      <c r="I139" s="674" t="s">
        <v>30</v>
      </c>
      <c r="J139" s="675"/>
      <c r="K139" s="674" t="s">
        <v>31</v>
      </c>
      <c r="L139" s="675"/>
      <c r="M139" s="674" t="s">
        <v>32</v>
      </c>
      <c r="N139" s="675"/>
      <c r="O139" s="674" t="s">
        <v>33</v>
      </c>
      <c r="P139" s="675"/>
      <c r="Q139" s="674" t="s">
        <v>34</v>
      </c>
      <c r="R139" s="675"/>
      <c r="S139" s="674" t="s">
        <v>35</v>
      </c>
      <c r="T139" s="675"/>
      <c r="U139" s="674" t="s">
        <v>36</v>
      </c>
      <c r="V139" s="675"/>
      <c r="W139" s="674" t="s">
        <v>37</v>
      </c>
      <c r="X139" s="675"/>
      <c r="Y139" s="674" t="s">
        <v>38</v>
      </c>
      <c r="Z139" s="675"/>
      <c r="AA139" s="674" t="s">
        <v>39</v>
      </c>
      <c r="AB139" s="675"/>
    </row>
    <row r="140" spans="1:28" x14ac:dyDescent="0.3">
      <c r="A140" s="727"/>
      <c r="B140" s="727"/>
      <c r="C140" s="731" t="s">
        <v>42</v>
      </c>
      <c r="D140" s="733" t="s">
        <v>58</v>
      </c>
      <c r="E140" s="735">
        <v>0.08</v>
      </c>
      <c r="F140" s="736"/>
      <c r="G140" s="735">
        <v>0.08</v>
      </c>
      <c r="H140" s="736"/>
      <c r="I140" s="735">
        <v>0.08</v>
      </c>
      <c r="J140" s="736"/>
      <c r="K140" s="735">
        <v>0.08</v>
      </c>
      <c r="L140" s="736"/>
      <c r="M140" s="735">
        <v>0.08</v>
      </c>
      <c r="N140" s="736"/>
      <c r="O140" s="735">
        <v>0.08</v>
      </c>
      <c r="P140" s="736"/>
      <c r="Q140" s="735">
        <v>0.08</v>
      </c>
      <c r="R140" s="736"/>
      <c r="S140" s="735">
        <v>0.08</v>
      </c>
      <c r="T140" s="736"/>
      <c r="U140" s="735">
        <v>0.08</v>
      </c>
      <c r="V140" s="736"/>
      <c r="W140" s="735">
        <v>0.08</v>
      </c>
      <c r="X140" s="736"/>
      <c r="Y140" s="735">
        <v>0.1</v>
      </c>
      <c r="Z140" s="736"/>
      <c r="AA140" s="735">
        <v>0.1</v>
      </c>
      <c r="AB140" s="736"/>
    </row>
    <row r="141" spans="1:28" ht="15" thickBot="1" x14ac:dyDescent="0.35">
      <c r="A141" s="728"/>
      <c r="B141" s="728"/>
      <c r="C141" s="732"/>
      <c r="D141" s="734"/>
      <c r="E141" s="28" t="s">
        <v>42</v>
      </c>
      <c r="F141" s="29" t="s">
        <v>58</v>
      </c>
      <c r="G141" s="28" t="s">
        <v>42</v>
      </c>
      <c r="H141" s="29" t="s">
        <v>58</v>
      </c>
      <c r="I141" s="28" t="s">
        <v>42</v>
      </c>
      <c r="J141" s="29" t="s">
        <v>58</v>
      </c>
      <c r="K141" s="28" t="s">
        <v>42</v>
      </c>
      <c r="L141" s="29" t="s">
        <v>58</v>
      </c>
      <c r="M141" s="28" t="s">
        <v>42</v>
      </c>
      <c r="N141" s="29" t="s">
        <v>58</v>
      </c>
      <c r="O141" s="28" t="s">
        <v>42</v>
      </c>
      <c r="P141" s="29" t="s">
        <v>58</v>
      </c>
      <c r="Q141" s="28" t="s">
        <v>42</v>
      </c>
      <c r="R141" s="29" t="s">
        <v>58</v>
      </c>
      <c r="S141" s="28" t="s">
        <v>42</v>
      </c>
      <c r="T141" s="29" t="s">
        <v>58</v>
      </c>
      <c r="U141" s="28" t="s">
        <v>42</v>
      </c>
      <c r="V141" s="29" t="s">
        <v>58</v>
      </c>
      <c r="W141" s="28" t="s">
        <v>42</v>
      </c>
      <c r="X141" s="29" t="s">
        <v>58</v>
      </c>
      <c r="Y141" s="28" t="s">
        <v>42</v>
      </c>
      <c r="Z141" s="29" t="s">
        <v>58</v>
      </c>
      <c r="AA141" s="28" t="s">
        <v>42</v>
      </c>
      <c r="AB141" s="29" t="s">
        <v>58</v>
      </c>
    </row>
    <row r="142" spans="1:28" ht="15.6" x14ac:dyDescent="0.3">
      <c r="A142" s="543" t="str">
        <f>Hipótesis!F30</f>
        <v xml:space="preserve">Liviana </v>
      </c>
      <c r="B142" s="30"/>
      <c r="C142" s="31"/>
      <c r="D142" s="32"/>
      <c r="E142" s="33"/>
      <c r="F142" s="32"/>
      <c r="G142" s="33"/>
      <c r="H142" s="32"/>
      <c r="I142" s="33"/>
      <c r="J142" s="32"/>
      <c r="K142" s="33"/>
      <c r="L142" s="32"/>
      <c r="M142" s="33"/>
      <c r="N142" s="32"/>
      <c r="O142" s="33"/>
      <c r="P142" s="32"/>
      <c r="Q142" s="33"/>
      <c r="R142" s="32"/>
      <c r="S142" s="33"/>
      <c r="T142" s="32"/>
      <c r="U142" s="33"/>
      <c r="V142" s="32"/>
      <c r="W142" s="33"/>
      <c r="X142" s="32"/>
      <c r="Y142" s="33"/>
      <c r="Z142" s="34"/>
      <c r="AA142" s="33"/>
      <c r="AB142" s="32"/>
    </row>
    <row r="143" spans="1:28" ht="15.6" x14ac:dyDescent="0.3">
      <c r="A143" s="35" t="str">
        <f>Hipótesis!B30</f>
        <v>Dada</v>
      </c>
      <c r="B143" s="36">
        <f>Hipótesis!C30</f>
        <v>23850</v>
      </c>
      <c r="C143" s="37">
        <v>1400</v>
      </c>
      <c r="D143" s="38">
        <f>B143*C143</f>
        <v>33390000</v>
      </c>
      <c r="E143" s="39">
        <f>C143*$E$140</f>
        <v>112</v>
      </c>
      <c r="F143" s="38">
        <f>D143*E140</f>
        <v>2671200</v>
      </c>
      <c r="G143" s="39">
        <f t="shared" ref="G143:H144" si="21">C143*$G$140</f>
        <v>112</v>
      </c>
      <c r="H143" s="38">
        <f t="shared" si="21"/>
        <v>2671200</v>
      </c>
      <c r="I143" s="39">
        <f t="shared" ref="I143:J144" si="22">C143*$I$140</f>
        <v>112</v>
      </c>
      <c r="J143" s="38">
        <f t="shared" si="22"/>
        <v>2671200</v>
      </c>
      <c r="K143" s="39">
        <f t="shared" ref="K143:L144" si="23">C143*$K$140</f>
        <v>112</v>
      </c>
      <c r="L143" s="38">
        <f t="shared" si="23"/>
        <v>2671200</v>
      </c>
      <c r="M143" s="39">
        <f t="shared" ref="M143:N144" si="24">C143*$M$140</f>
        <v>112</v>
      </c>
      <c r="N143" s="38">
        <f t="shared" si="24"/>
        <v>2671200</v>
      </c>
      <c r="O143" s="39">
        <f t="shared" ref="O143:P144" si="25">C143*$O$140</f>
        <v>112</v>
      </c>
      <c r="P143" s="38">
        <f t="shared" si="25"/>
        <v>2671200</v>
      </c>
      <c r="Q143" s="39">
        <f t="shared" ref="Q143:R144" si="26">C143*$Q$140</f>
        <v>112</v>
      </c>
      <c r="R143" s="38">
        <f t="shared" si="26"/>
        <v>2671200</v>
      </c>
      <c r="S143" s="39">
        <f t="shared" ref="S143:T144" si="27">C143*$S$140</f>
        <v>112</v>
      </c>
      <c r="T143" s="38">
        <f t="shared" si="27"/>
        <v>2671200</v>
      </c>
      <c r="U143" s="39">
        <f t="shared" ref="U143:V144" si="28">C143*$U$140</f>
        <v>112</v>
      </c>
      <c r="V143" s="38">
        <f t="shared" si="28"/>
        <v>2671200</v>
      </c>
      <c r="W143" s="39">
        <f t="shared" ref="W143:X144" si="29">C143*$W$140</f>
        <v>112</v>
      </c>
      <c r="X143" s="38">
        <f t="shared" si="29"/>
        <v>2671200</v>
      </c>
      <c r="Y143" s="39">
        <f t="shared" ref="Y143:Z144" si="30">C143*$Y$140</f>
        <v>140</v>
      </c>
      <c r="Z143" s="38">
        <f t="shared" si="30"/>
        <v>3339000</v>
      </c>
      <c r="AA143" s="39">
        <f t="shared" ref="AA143:AB144" si="31">C143*$AA$140</f>
        <v>140</v>
      </c>
      <c r="AB143" s="38">
        <f t="shared" si="31"/>
        <v>3339000</v>
      </c>
    </row>
    <row r="144" spans="1:28" ht="16.2" thickBot="1" x14ac:dyDescent="0.35">
      <c r="A144" s="35" t="str">
        <f>Hipótesis!B31</f>
        <v>Gretel</v>
      </c>
      <c r="B144" s="36">
        <f>Hipótesis!C31</f>
        <v>25000</v>
      </c>
      <c r="C144" s="37">
        <v>1200</v>
      </c>
      <c r="D144" s="38">
        <f>B144*C144</f>
        <v>30000000</v>
      </c>
      <c r="E144" s="39">
        <f>C144*$E$140</f>
        <v>96</v>
      </c>
      <c r="F144" s="38">
        <f>D144*E140</f>
        <v>2400000</v>
      </c>
      <c r="G144" s="39">
        <f t="shared" si="21"/>
        <v>96</v>
      </c>
      <c r="H144" s="38">
        <f t="shared" si="21"/>
        <v>2400000</v>
      </c>
      <c r="I144" s="39">
        <f t="shared" si="22"/>
        <v>96</v>
      </c>
      <c r="J144" s="38">
        <f t="shared" si="22"/>
        <v>2400000</v>
      </c>
      <c r="K144" s="39">
        <f t="shared" si="23"/>
        <v>96</v>
      </c>
      <c r="L144" s="38">
        <f t="shared" si="23"/>
        <v>2400000</v>
      </c>
      <c r="M144" s="39">
        <f t="shared" si="24"/>
        <v>96</v>
      </c>
      <c r="N144" s="38">
        <f t="shared" si="24"/>
        <v>2400000</v>
      </c>
      <c r="O144" s="39">
        <f t="shared" si="25"/>
        <v>96</v>
      </c>
      <c r="P144" s="38">
        <f t="shared" si="25"/>
        <v>2400000</v>
      </c>
      <c r="Q144" s="39">
        <f t="shared" si="26"/>
        <v>96</v>
      </c>
      <c r="R144" s="38">
        <f t="shared" si="26"/>
        <v>2400000</v>
      </c>
      <c r="S144" s="39">
        <f t="shared" si="27"/>
        <v>96</v>
      </c>
      <c r="T144" s="38">
        <f t="shared" si="27"/>
        <v>2400000</v>
      </c>
      <c r="U144" s="39">
        <f t="shared" si="28"/>
        <v>96</v>
      </c>
      <c r="V144" s="38">
        <f t="shared" si="28"/>
        <v>2400000</v>
      </c>
      <c r="W144" s="39">
        <f t="shared" si="29"/>
        <v>96</v>
      </c>
      <c r="X144" s="38">
        <f t="shared" si="29"/>
        <v>2400000</v>
      </c>
      <c r="Y144" s="39">
        <f t="shared" si="30"/>
        <v>120</v>
      </c>
      <c r="Z144" s="38">
        <f t="shared" si="30"/>
        <v>3000000</v>
      </c>
      <c r="AA144" s="39">
        <f t="shared" si="31"/>
        <v>120</v>
      </c>
      <c r="AB144" s="38">
        <f t="shared" si="31"/>
        <v>3000000</v>
      </c>
    </row>
    <row r="145" spans="1:28" ht="15.6" x14ac:dyDescent="0.3">
      <c r="A145" s="544" t="str">
        <f>Hipótesis!G30</f>
        <v>Creativa</v>
      </c>
      <c r="B145" s="30"/>
      <c r="C145" s="31"/>
      <c r="D145" s="32"/>
      <c r="E145" s="33"/>
      <c r="F145" s="32"/>
      <c r="G145" s="33"/>
      <c r="H145" s="32"/>
      <c r="I145" s="33"/>
      <c r="J145" s="32"/>
      <c r="K145" s="33"/>
      <c r="L145" s="32"/>
      <c r="M145" s="33"/>
      <c r="N145" s="32"/>
      <c r="O145" s="33"/>
      <c r="P145" s="32"/>
      <c r="Q145" s="33"/>
      <c r="R145" s="32"/>
      <c r="S145" s="33"/>
      <c r="T145" s="32"/>
      <c r="U145" s="33"/>
      <c r="V145" s="32"/>
      <c r="W145" s="33"/>
      <c r="X145" s="32"/>
      <c r="Y145" s="33"/>
      <c r="Z145" s="34"/>
      <c r="AA145" s="33"/>
      <c r="AB145" s="32"/>
    </row>
    <row r="146" spans="1:28" ht="16.2" thickBot="1" x14ac:dyDescent="0.35">
      <c r="A146" s="42" t="str">
        <f>Hipótesis!B32</f>
        <v>Monkey</v>
      </c>
      <c r="B146" s="43">
        <f>Hipótesis!C32</f>
        <v>28450</v>
      </c>
      <c r="C146" s="44">
        <v>900</v>
      </c>
      <c r="D146" s="45">
        <f>B146*C146</f>
        <v>25605000</v>
      </c>
      <c r="E146" s="46">
        <f>C146*$E$140</f>
        <v>72</v>
      </c>
      <c r="F146" s="45">
        <f>D146*$E$140</f>
        <v>2048400</v>
      </c>
      <c r="G146" s="46">
        <f>C146*$G$140</f>
        <v>72</v>
      </c>
      <c r="H146" s="45">
        <f>D146*$G$140</f>
        <v>2048400</v>
      </c>
      <c r="I146" s="46">
        <f>C146*$I$140</f>
        <v>72</v>
      </c>
      <c r="J146" s="45">
        <f>D146*$I$140</f>
        <v>2048400</v>
      </c>
      <c r="K146" s="46">
        <f>C146*$K$140</f>
        <v>72</v>
      </c>
      <c r="L146" s="45">
        <f>D146*$K$140</f>
        <v>2048400</v>
      </c>
      <c r="M146" s="46">
        <f>C146*$M$140</f>
        <v>72</v>
      </c>
      <c r="N146" s="45">
        <f>D146*$M$140</f>
        <v>2048400</v>
      </c>
      <c r="O146" s="46">
        <f>C146*$O$140</f>
        <v>72</v>
      </c>
      <c r="P146" s="45">
        <f>D146*$O$140</f>
        <v>2048400</v>
      </c>
      <c r="Q146" s="46">
        <f>C146*$Q$140</f>
        <v>72</v>
      </c>
      <c r="R146" s="45">
        <f>D146*$Q$140</f>
        <v>2048400</v>
      </c>
      <c r="S146" s="46">
        <f>C146*$S$140</f>
        <v>72</v>
      </c>
      <c r="T146" s="45">
        <f>D146*$S$140</f>
        <v>2048400</v>
      </c>
      <c r="U146" s="46">
        <f>C146*$U$140</f>
        <v>72</v>
      </c>
      <c r="V146" s="45">
        <f>D146*$U$140</f>
        <v>2048400</v>
      </c>
      <c r="W146" s="46">
        <f>C146*$W$140</f>
        <v>72</v>
      </c>
      <c r="X146" s="45">
        <f>D146*$W$140</f>
        <v>2048400</v>
      </c>
      <c r="Y146" s="46">
        <f>C146*$Y$140</f>
        <v>90</v>
      </c>
      <c r="Z146" s="47">
        <f>D146*$Y$140</f>
        <v>2560500</v>
      </c>
      <c r="AA146" s="46">
        <f>C146*$AA$140</f>
        <v>90</v>
      </c>
      <c r="AB146" s="45">
        <f>D146*$AA$140</f>
        <v>2560500</v>
      </c>
    </row>
    <row r="147" spans="1:28" ht="15.6" x14ac:dyDescent="0.3">
      <c r="A147" s="545" t="str">
        <f>Hipótesis!H30</f>
        <v>Exclusiva</v>
      </c>
      <c r="B147" s="30"/>
      <c r="C147" s="31"/>
      <c r="D147" s="32"/>
      <c r="E147" s="33"/>
      <c r="F147" s="32"/>
      <c r="G147" s="33"/>
      <c r="H147" s="32"/>
      <c r="I147" s="33"/>
      <c r="J147" s="32"/>
      <c r="K147" s="33"/>
      <c r="L147" s="32"/>
      <c r="M147" s="33"/>
      <c r="N147" s="32"/>
      <c r="O147" s="33"/>
      <c r="P147" s="32"/>
      <c r="Q147" s="33"/>
      <c r="R147" s="32"/>
      <c r="S147" s="33"/>
      <c r="T147" s="32"/>
      <c r="U147" s="33"/>
      <c r="V147" s="32"/>
      <c r="W147" s="33"/>
      <c r="X147" s="32"/>
      <c r="Y147" s="33"/>
      <c r="Z147" s="34"/>
      <c r="AA147" s="33"/>
      <c r="AB147" s="32"/>
    </row>
    <row r="148" spans="1:28" ht="16.2" thickBot="1" x14ac:dyDescent="0.35">
      <c r="A148" s="49" t="str">
        <f>Hipótesis!B33</f>
        <v>Personalizada</v>
      </c>
      <c r="B148" s="50">
        <f>Hipótesis!C33</f>
        <v>33700</v>
      </c>
      <c r="C148" s="51">
        <v>800</v>
      </c>
      <c r="D148" s="52">
        <f>B148*C148</f>
        <v>26960000</v>
      </c>
      <c r="E148" s="53">
        <f>C148*$E$140</f>
        <v>64</v>
      </c>
      <c r="F148" s="52">
        <f>D148*$E$140</f>
        <v>2156800</v>
      </c>
      <c r="G148" s="53">
        <f>C148*$G$140</f>
        <v>64</v>
      </c>
      <c r="H148" s="52">
        <f>D148*$G$140</f>
        <v>2156800</v>
      </c>
      <c r="I148" s="53">
        <f>C148*$I$140</f>
        <v>64</v>
      </c>
      <c r="J148" s="52">
        <f>D148*$I$140</f>
        <v>2156800</v>
      </c>
      <c r="K148" s="53">
        <f>C148*$K$140</f>
        <v>64</v>
      </c>
      <c r="L148" s="52">
        <f>D148*$K$140</f>
        <v>2156800</v>
      </c>
      <c r="M148" s="53">
        <f>C148*$M$140</f>
        <v>64</v>
      </c>
      <c r="N148" s="52">
        <f>D148*$M$140</f>
        <v>2156800</v>
      </c>
      <c r="O148" s="53">
        <f>C148*$O$140</f>
        <v>64</v>
      </c>
      <c r="P148" s="52">
        <f>D148*$O$140</f>
        <v>2156800</v>
      </c>
      <c r="Q148" s="53">
        <f>C148*$Q$140</f>
        <v>64</v>
      </c>
      <c r="R148" s="52">
        <f>D148*$Q$140</f>
        <v>2156800</v>
      </c>
      <c r="S148" s="53">
        <f>C148*$S$140</f>
        <v>64</v>
      </c>
      <c r="T148" s="52">
        <f>D148*$S$140</f>
        <v>2156800</v>
      </c>
      <c r="U148" s="53">
        <f>C148*$U$140</f>
        <v>64</v>
      </c>
      <c r="V148" s="52">
        <f>D148*$U$140</f>
        <v>2156800</v>
      </c>
      <c r="W148" s="53">
        <f>C148*$W$140</f>
        <v>64</v>
      </c>
      <c r="X148" s="52">
        <f>D148*$W$140</f>
        <v>2156800</v>
      </c>
      <c r="Y148" s="53">
        <f>C148*$Y$140</f>
        <v>80</v>
      </c>
      <c r="Z148" s="54">
        <f>D148*$Y$140</f>
        <v>2696000</v>
      </c>
      <c r="AA148" s="53">
        <f>C148*$AA$140</f>
        <v>80</v>
      </c>
      <c r="AB148" s="52">
        <f>D148*$AA$140</f>
        <v>2696000</v>
      </c>
    </row>
    <row r="149" spans="1:28" ht="16.2" thickBot="1" x14ac:dyDescent="0.35">
      <c r="A149" s="737" t="s">
        <v>59</v>
      </c>
      <c r="B149" s="738"/>
      <c r="C149" s="26"/>
      <c r="D149" s="56">
        <f>SUM(D142:D148)</f>
        <v>115955000</v>
      </c>
      <c r="E149" s="27"/>
      <c r="F149" s="55">
        <f>SUM(F142:F148)</f>
        <v>9276400</v>
      </c>
      <c r="G149" s="27"/>
      <c r="H149" s="55">
        <f>SUM(H142:H148)</f>
        <v>9276400</v>
      </c>
      <c r="I149" s="27"/>
      <c r="J149" s="55">
        <f>SUM(J142:J148)</f>
        <v>9276400</v>
      </c>
      <c r="K149" s="27"/>
      <c r="L149" s="55">
        <f>SUM(L142:L148)</f>
        <v>9276400</v>
      </c>
      <c r="M149" s="27"/>
      <c r="N149" s="55">
        <f>SUM(N142:N148)</f>
        <v>9276400</v>
      </c>
      <c r="O149" s="27"/>
      <c r="P149" s="55">
        <f>SUM(P142:P148)</f>
        <v>9276400</v>
      </c>
      <c r="Q149" s="27"/>
      <c r="R149" s="55">
        <f>SUM(R142:R148)</f>
        <v>9276400</v>
      </c>
      <c r="S149" s="27"/>
      <c r="T149" s="55">
        <f>SUM(T142:T148)</f>
        <v>9276400</v>
      </c>
      <c r="U149" s="27"/>
      <c r="V149" s="55">
        <f>SUM(V142:V148)</f>
        <v>9276400</v>
      </c>
      <c r="W149" s="27"/>
      <c r="X149" s="55">
        <f>SUM(X142:X148)</f>
        <v>9276400</v>
      </c>
      <c r="Y149" s="27"/>
      <c r="Z149" s="55">
        <f>SUM(Z142:Z148)</f>
        <v>11595500</v>
      </c>
      <c r="AA149" s="27"/>
      <c r="AB149" s="55">
        <f>SUM(AB142:AB148)</f>
        <v>11595500</v>
      </c>
    </row>
    <row r="150" spans="1:28" ht="16.2" thickBot="1" x14ac:dyDescent="0.35">
      <c r="A150" s="739" t="s">
        <v>60</v>
      </c>
      <c r="B150" s="740"/>
      <c r="C150" s="58">
        <f>SUM(C143:C144)</f>
        <v>2600</v>
      </c>
      <c r="D150" s="59"/>
      <c r="E150" s="58">
        <f>SUM(E143:E144)</f>
        <v>208</v>
      </c>
      <c r="F150" s="59"/>
      <c r="G150" s="58">
        <f>SUM(G143:G144)</f>
        <v>208</v>
      </c>
      <c r="H150" s="59"/>
      <c r="I150" s="58">
        <f>SUM(I143:I144)</f>
        <v>208</v>
      </c>
      <c r="J150" s="59"/>
      <c r="K150" s="58">
        <f>SUM(K143:K144)</f>
        <v>208</v>
      </c>
      <c r="L150" s="59"/>
      <c r="M150" s="58">
        <f>SUM(M143:M144)</f>
        <v>208</v>
      </c>
      <c r="N150" s="59"/>
      <c r="O150" s="58">
        <f>SUM(O143:O144)</f>
        <v>208</v>
      </c>
      <c r="P150" s="59"/>
      <c r="Q150" s="58">
        <f>SUM(Q143:Q144)</f>
        <v>208</v>
      </c>
      <c r="R150" s="59"/>
      <c r="S150" s="58">
        <f>SUM(S143:S144)</f>
        <v>208</v>
      </c>
      <c r="T150" s="59"/>
      <c r="U150" s="58">
        <f>SUM(U143:U144)</f>
        <v>208</v>
      </c>
      <c r="V150" s="59"/>
      <c r="W150" s="58">
        <f>SUM(W143:W144)</f>
        <v>208</v>
      </c>
      <c r="X150" s="59"/>
      <c r="Y150" s="58">
        <f>SUM(Y143:Y144)</f>
        <v>260</v>
      </c>
      <c r="Z150" s="59"/>
      <c r="AA150" s="58">
        <f>SUM(AA143:AA144)</f>
        <v>260</v>
      </c>
      <c r="AB150" s="59"/>
    </row>
    <row r="151" spans="1:28" ht="16.2" thickBot="1" x14ac:dyDescent="0.35">
      <c r="A151" s="741" t="s">
        <v>430</v>
      </c>
      <c r="B151" s="742"/>
      <c r="C151" s="60">
        <f>C146</f>
        <v>900</v>
      </c>
      <c r="D151" s="59"/>
      <c r="E151" s="60">
        <f>E146</f>
        <v>72</v>
      </c>
      <c r="F151" s="59"/>
      <c r="G151" s="60">
        <f>G146</f>
        <v>72</v>
      </c>
      <c r="H151" s="59"/>
      <c r="I151" s="60">
        <f>I146</f>
        <v>72</v>
      </c>
      <c r="J151" s="59"/>
      <c r="K151" s="60">
        <f>K146</f>
        <v>72</v>
      </c>
      <c r="L151" s="59"/>
      <c r="M151" s="60">
        <f>M146</f>
        <v>72</v>
      </c>
      <c r="N151" s="59"/>
      <c r="O151" s="60">
        <f>O146</f>
        <v>72</v>
      </c>
      <c r="P151" s="59"/>
      <c r="Q151" s="60">
        <f>Q146</f>
        <v>72</v>
      </c>
      <c r="R151" s="59"/>
      <c r="S151" s="60">
        <f>S146</f>
        <v>72</v>
      </c>
      <c r="T151" s="59"/>
      <c r="U151" s="60">
        <f>U146</f>
        <v>72</v>
      </c>
      <c r="V151" s="59"/>
      <c r="W151" s="60">
        <f>W146</f>
        <v>72</v>
      </c>
      <c r="X151" s="59"/>
      <c r="Y151" s="60">
        <f>Y146</f>
        <v>90</v>
      </c>
      <c r="Z151" s="59"/>
      <c r="AA151" s="60">
        <f>AA146</f>
        <v>90</v>
      </c>
      <c r="AB151" s="59"/>
    </row>
    <row r="152" spans="1:28" ht="16.2" thickBot="1" x14ac:dyDescent="0.35">
      <c r="A152" s="743" t="s">
        <v>429</v>
      </c>
      <c r="B152" s="744"/>
      <c r="C152" s="57">
        <f>C148</f>
        <v>800</v>
      </c>
      <c r="D152" s="59"/>
      <c r="E152" s="57">
        <f>E148</f>
        <v>64</v>
      </c>
      <c r="F152" s="59"/>
      <c r="G152" s="57">
        <f>G148</f>
        <v>64</v>
      </c>
      <c r="H152" s="59"/>
      <c r="I152" s="57">
        <f>I148</f>
        <v>64</v>
      </c>
      <c r="J152" s="59"/>
      <c r="K152" s="57">
        <f>K148</f>
        <v>64</v>
      </c>
      <c r="L152" s="59"/>
      <c r="M152" s="57">
        <f>M148</f>
        <v>64</v>
      </c>
      <c r="N152" s="59"/>
      <c r="O152" s="57">
        <f>O148</f>
        <v>64</v>
      </c>
      <c r="P152" s="59"/>
      <c r="Q152" s="57">
        <f>Q148</f>
        <v>64</v>
      </c>
      <c r="R152" s="59"/>
      <c r="S152" s="57">
        <f>S148</f>
        <v>64</v>
      </c>
      <c r="T152" s="59"/>
      <c r="U152" s="57">
        <f>U148</f>
        <v>64</v>
      </c>
      <c r="V152" s="59"/>
      <c r="W152" s="57">
        <f>W148</f>
        <v>64</v>
      </c>
      <c r="X152" s="59"/>
      <c r="Y152" s="57">
        <f>Y148</f>
        <v>80</v>
      </c>
      <c r="Z152" s="59"/>
      <c r="AA152" s="57">
        <f>AA148</f>
        <v>80</v>
      </c>
      <c r="AB152" s="59"/>
    </row>
    <row r="153" spans="1:28" ht="16.2" thickBot="1" x14ac:dyDescent="0.35">
      <c r="A153" s="705" t="s">
        <v>189</v>
      </c>
      <c r="B153" s="706"/>
      <c r="C153" s="178">
        <f>SUM(C150:C152)</f>
        <v>4300</v>
      </c>
      <c r="D153" s="59"/>
      <c r="E153" s="178">
        <f>SUM(E150:E152)</f>
        <v>344</v>
      </c>
      <c r="F153" s="59"/>
      <c r="G153" s="178">
        <f>SUM(G150:G152)</f>
        <v>344</v>
      </c>
      <c r="H153" s="59"/>
      <c r="I153" s="178">
        <f>SUM(I150:I152)</f>
        <v>344</v>
      </c>
      <c r="J153" s="59"/>
      <c r="K153" s="178">
        <f>SUM(K150:K152)</f>
        <v>344</v>
      </c>
      <c r="L153" s="59"/>
      <c r="M153" s="178">
        <f>SUM(M150:M152)</f>
        <v>344</v>
      </c>
      <c r="N153" s="59"/>
      <c r="O153" s="178">
        <f>SUM(O150:O152)</f>
        <v>344</v>
      </c>
      <c r="P153" s="59"/>
      <c r="Q153" s="178">
        <f>SUM(Q150:Q152)</f>
        <v>344</v>
      </c>
      <c r="R153" s="59"/>
      <c r="S153" s="178">
        <f>SUM(S150:S152)</f>
        <v>344</v>
      </c>
      <c r="T153" s="59"/>
      <c r="U153" s="178">
        <f>SUM(U150:U152)</f>
        <v>344</v>
      </c>
      <c r="V153" s="59"/>
      <c r="W153" s="178">
        <f>SUM(W150:W152)</f>
        <v>344</v>
      </c>
      <c r="X153" s="59"/>
      <c r="Y153" s="178">
        <f>SUM(Y150:Y152)</f>
        <v>430</v>
      </c>
      <c r="Z153" s="59"/>
      <c r="AA153" s="178">
        <f>SUM(AA150:AA152)</f>
        <v>430</v>
      </c>
      <c r="AB153" s="59"/>
    </row>
    <row r="154" spans="1:28" ht="31.8" thickBot="1" x14ac:dyDescent="0.35">
      <c r="A154" s="180" t="s">
        <v>199</v>
      </c>
      <c r="B154" s="181">
        <f>SUM(F149+H149+J149+L149+N149+P149+R149+T149+V149+X149+Z149+AB149)</f>
        <v>115955000</v>
      </c>
    </row>
    <row r="156" spans="1:28" ht="15" thickBot="1" x14ac:dyDescent="0.35"/>
    <row r="157" spans="1:28" ht="26.4" thickBot="1" x14ac:dyDescent="0.55000000000000004">
      <c r="A157" s="681" t="s">
        <v>452</v>
      </c>
      <c r="B157" s="682"/>
      <c r="C157" s="682"/>
      <c r="D157" s="682"/>
      <c r="E157" s="682"/>
      <c r="F157" s="682"/>
      <c r="G157" s="682"/>
      <c r="H157" s="682"/>
      <c r="I157" s="682"/>
      <c r="J157" s="682"/>
      <c r="K157" s="682"/>
      <c r="L157" s="682"/>
      <c r="M157" s="682"/>
      <c r="N157" s="682"/>
      <c r="O157" s="682"/>
      <c r="P157" s="682"/>
      <c r="Q157" s="682"/>
      <c r="R157" s="682"/>
      <c r="S157" s="682"/>
      <c r="T157" s="682"/>
      <c r="U157" s="682"/>
      <c r="V157" s="682"/>
      <c r="W157" s="682"/>
      <c r="X157" s="682"/>
      <c r="Y157" s="682"/>
      <c r="Z157" s="682"/>
      <c r="AA157" s="682"/>
      <c r="AB157" s="683"/>
    </row>
    <row r="158" spans="1:28" ht="26.4" thickBot="1" x14ac:dyDescent="0.35">
      <c r="A158" s="547" t="s">
        <v>101</v>
      </c>
      <c r="B158" s="684" t="s">
        <v>203</v>
      </c>
      <c r="C158" s="685"/>
      <c r="D158" s="685"/>
      <c r="E158" s="685"/>
      <c r="F158" s="685"/>
      <c r="G158" s="685"/>
      <c r="H158" s="685"/>
      <c r="I158" s="685"/>
      <c r="J158" s="685"/>
      <c r="K158" s="685"/>
      <c r="L158" s="685"/>
      <c r="M158" s="685"/>
      <c r="N158" s="685"/>
      <c r="O158" s="685"/>
      <c r="P158" s="685"/>
      <c r="Q158" s="685"/>
      <c r="R158" s="685"/>
      <c r="S158" s="685"/>
      <c r="T158" s="685"/>
      <c r="U158" s="685"/>
      <c r="V158" s="685"/>
      <c r="W158" s="685"/>
      <c r="X158" s="685"/>
      <c r="Y158" s="685"/>
      <c r="Z158" s="685"/>
      <c r="AA158" s="685"/>
      <c r="AB158" s="686"/>
    </row>
    <row r="159" spans="1:28" ht="21.6" thickBot="1" x14ac:dyDescent="0.45">
      <c r="A159" s="687" t="s">
        <v>27</v>
      </c>
      <c r="B159" s="688"/>
      <c r="C159" s="691" t="s">
        <v>112</v>
      </c>
      <c r="D159" s="692"/>
      <c r="E159" s="693" t="s">
        <v>453</v>
      </c>
      <c r="F159" s="694"/>
      <c r="G159" s="694"/>
      <c r="H159" s="694"/>
      <c r="I159" s="694"/>
      <c r="J159" s="694"/>
      <c r="K159" s="694"/>
      <c r="L159" s="694"/>
      <c r="M159" s="694"/>
      <c r="N159" s="694"/>
      <c r="O159" s="694"/>
      <c r="P159" s="694"/>
      <c r="Q159" s="694"/>
      <c r="R159" s="694"/>
      <c r="S159" s="694"/>
      <c r="T159" s="694"/>
      <c r="U159" s="694"/>
      <c r="V159" s="694"/>
      <c r="W159" s="694"/>
      <c r="X159" s="694"/>
      <c r="Y159" s="694"/>
      <c r="Z159" s="694"/>
      <c r="AA159" s="694"/>
      <c r="AB159" s="695"/>
    </row>
    <row r="160" spans="1:28" ht="15" thickBot="1" x14ac:dyDescent="0.35">
      <c r="A160" s="689"/>
      <c r="B160" s="690"/>
      <c r="C160" s="696" t="s">
        <v>27</v>
      </c>
      <c r="D160" s="697"/>
      <c r="E160" s="698" t="s">
        <v>28</v>
      </c>
      <c r="F160" s="699"/>
      <c r="G160" s="698" t="s">
        <v>29</v>
      </c>
      <c r="H160" s="699"/>
      <c r="I160" s="698" t="s">
        <v>30</v>
      </c>
      <c r="J160" s="699"/>
      <c r="K160" s="698" t="s">
        <v>31</v>
      </c>
      <c r="L160" s="699"/>
      <c r="M160" s="698" t="s">
        <v>32</v>
      </c>
      <c r="N160" s="699"/>
      <c r="O160" s="698" t="s">
        <v>33</v>
      </c>
      <c r="P160" s="699"/>
      <c r="Q160" s="698" t="s">
        <v>34</v>
      </c>
      <c r="R160" s="699"/>
      <c r="S160" s="698" t="s">
        <v>35</v>
      </c>
      <c r="T160" s="699"/>
      <c r="U160" s="698" t="s">
        <v>36</v>
      </c>
      <c r="V160" s="699"/>
      <c r="W160" s="698" t="s">
        <v>37</v>
      </c>
      <c r="X160" s="699"/>
      <c r="Y160" s="698" t="s">
        <v>38</v>
      </c>
      <c r="Z160" s="699"/>
      <c r="AA160" s="698" t="s">
        <v>39</v>
      </c>
      <c r="AB160" s="699"/>
    </row>
    <row r="161" spans="1:28" ht="14.4" customHeight="1" x14ac:dyDescent="0.3">
      <c r="A161" s="625" t="s">
        <v>98</v>
      </c>
      <c r="B161" s="626"/>
      <c r="C161" s="680" t="s">
        <v>105</v>
      </c>
      <c r="D161" s="659"/>
      <c r="E161" s="660" t="s">
        <v>113</v>
      </c>
      <c r="F161" s="661"/>
      <c r="G161" s="661" t="s">
        <v>113</v>
      </c>
      <c r="H161" s="661"/>
      <c r="I161" s="661" t="s">
        <v>113</v>
      </c>
      <c r="J161" s="661"/>
      <c r="K161" s="661" t="s">
        <v>113</v>
      </c>
      <c r="L161" s="661"/>
      <c r="M161" s="661" t="s">
        <v>113</v>
      </c>
      <c r="N161" s="661"/>
      <c r="O161" s="661" t="s">
        <v>113</v>
      </c>
      <c r="P161" s="661"/>
      <c r="Q161" s="661" t="s">
        <v>113</v>
      </c>
      <c r="R161" s="661"/>
      <c r="S161" s="661" t="s">
        <v>113</v>
      </c>
      <c r="T161" s="661"/>
      <c r="U161" s="661" t="s">
        <v>113</v>
      </c>
      <c r="V161" s="661"/>
      <c r="W161" s="661" t="s">
        <v>113</v>
      </c>
      <c r="X161" s="661"/>
      <c r="Y161" s="661" t="s">
        <v>113</v>
      </c>
      <c r="Z161" s="661"/>
      <c r="AA161" s="661" t="s">
        <v>113</v>
      </c>
      <c r="AB161" s="663"/>
    </row>
    <row r="162" spans="1:28" ht="14.4" customHeight="1" x14ac:dyDescent="0.3">
      <c r="A162" s="627"/>
      <c r="B162" s="628"/>
      <c r="C162" s="655" t="s">
        <v>106</v>
      </c>
      <c r="D162" s="656"/>
      <c r="E162" s="672" t="s">
        <v>113</v>
      </c>
      <c r="F162" s="664"/>
      <c r="G162" s="664" t="s">
        <v>113</v>
      </c>
      <c r="H162" s="664"/>
      <c r="I162" s="664" t="s">
        <v>113</v>
      </c>
      <c r="J162" s="664"/>
      <c r="K162" s="664" t="s">
        <v>113</v>
      </c>
      <c r="L162" s="664"/>
      <c r="M162" s="664" t="s">
        <v>113</v>
      </c>
      <c r="N162" s="664"/>
      <c r="O162" s="664" t="s">
        <v>113</v>
      </c>
      <c r="P162" s="664"/>
      <c r="Q162" s="664" t="s">
        <v>113</v>
      </c>
      <c r="R162" s="664"/>
      <c r="S162" s="664" t="s">
        <v>113</v>
      </c>
      <c r="T162" s="664"/>
      <c r="U162" s="664" t="s">
        <v>113</v>
      </c>
      <c r="V162" s="664"/>
      <c r="W162" s="664" t="s">
        <v>113</v>
      </c>
      <c r="X162" s="664"/>
      <c r="Y162" s="664" t="s">
        <v>113</v>
      </c>
      <c r="Z162" s="664"/>
      <c r="AA162" s="664" t="s">
        <v>113</v>
      </c>
      <c r="AB162" s="667"/>
    </row>
    <row r="163" spans="1:28" ht="14.4" customHeight="1" x14ac:dyDescent="0.3">
      <c r="A163" s="627"/>
      <c r="B163" s="628"/>
      <c r="C163" s="655" t="s">
        <v>107</v>
      </c>
      <c r="D163" s="656"/>
      <c r="E163" s="672" t="s">
        <v>113</v>
      </c>
      <c r="F163" s="664"/>
      <c r="G163" s="664" t="s">
        <v>113</v>
      </c>
      <c r="H163" s="664"/>
      <c r="I163" s="664" t="s">
        <v>113</v>
      </c>
      <c r="J163" s="664"/>
      <c r="K163" s="664" t="s">
        <v>113</v>
      </c>
      <c r="L163" s="664"/>
      <c r="M163" s="664" t="s">
        <v>113</v>
      </c>
      <c r="N163" s="664"/>
      <c r="O163" s="664" t="s">
        <v>113</v>
      </c>
      <c r="P163" s="664"/>
      <c r="Q163" s="664" t="s">
        <v>113</v>
      </c>
      <c r="R163" s="664"/>
      <c r="S163" s="664" t="s">
        <v>113</v>
      </c>
      <c r="T163" s="664"/>
      <c r="U163" s="664" t="s">
        <v>113</v>
      </c>
      <c r="V163" s="664"/>
      <c r="W163" s="664" t="s">
        <v>113</v>
      </c>
      <c r="X163" s="664"/>
      <c r="Y163" s="664" t="s">
        <v>113</v>
      </c>
      <c r="Z163" s="664"/>
      <c r="AA163" s="664" t="s">
        <v>113</v>
      </c>
      <c r="AB163" s="667"/>
    </row>
    <row r="164" spans="1:28" ht="14.4" customHeight="1" x14ac:dyDescent="0.3">
      <c r="A164" s="627"/>
      <c r="B164" s="628"/>
      <c r="C164" s="655" t="s">
        <v>108</v>
      </c>
      <c r="D164" s="656"/>
      <c r="E164" s="672" t="s">
        <v>113</v>
      </c>
      <c r="F164" s="664"/>
      <c r="G164" s="664" t="s">
        <v>113</v>
      </c>
      <c r="H164" s="664"/>
      <c r="I164" s="664" t="s">
        <v>113</v>
      </c>
      <c r="J164" s="664"/>
      <c r="K164" s="664" t="s">
        <v>113</v>
      </c>
      <c r="L164" s="664"/>
      <c r="M164" s="664" t="s">
        <v>113</v>
      </c>
      <c r="N164" s="664"/>
      <c r="O164" s="664" t="s">
        <v>113</v>
      </c>
      <c r="P164" s="664"/>
      <c r="Q164" s="664" t="s">
        <v>113</v>
      </c>
      <c r="R164" s="664"/>
      <c r="S164" s="664" t="s">
        <v>113</v>
      </c>
      <c r="T164" s="664"/>
      <c r="U164" s="664" t="s">
        <v>113</v>
      </c>
      <c r="V164" s="664"/>
      <c r="W164" s="664" t="s">
        <v>113</v>
      </c>
      <c r="X164" s="664"/>
      <c r="Y164" s="664" t="s">
        <v>113</v>
      </c>
      <c r="Z164" s="664"/>
      <c r="AA164" s="664" t="s">
        <v>113</v>
      </c>
      <c r="AB164" s="667"/>
    </row>
    <row r="165" spans="1:28" ht="14.4" customHeight="1" x14ac:dyDescent="0.3">
      <c r="A165" s="627"/>
      <c r="B165" s="628"/>
      <c r="C165" s="655" t="s">
        <v>114</v>
      </c>
      <c r="D165" s="656"/>
      <c r="E165" s="672" t="s">
        <v>113</v>
      </c>
      <c r="F165" s="664"/>
      <c r="G165" s="664" t="s">
        <v>113</v>
      </c>
      <c r="H165" s="664"/>
      <c r="I165" s="664" t="s">
        <v>113</v>
      </c>
      <c r="J165" s="664"/>
      <c r="K165" s="664" t="s">
        <v>113</v>
      </c>
      <c r="L165" s="664"/>
      <c r="M165" s="664" t="s">
        <v>113</v>
      </c>
      <c r="N165" s="664"/>
      <c r="O165" s="664" t="s">
        <v>113</v>
      </c>
      <c r="P165" s="664"/>
      <c r="Q165" s="664" t="s">
        <v>113</v>
      </c>
      <c r="R165" s="664"/>
      <c r="S165" s="664" t="s">
        <v>113</v>
      </c>
      <c r="T165" s="664"/>
      <c r="U165" s="664" t="s">
        <v>113</v>
      </c>
      <c r="V165" s="664"/>
      <c r="W165" s="664" t="s">
        <v>113</v>
      </c>
      <c r="X165" s="664"/>
      <c r="Y165" s="664" t="s">
        <v>113</v>
      </c>
      <c r="Z165" s="664"/>
      <c r="AA165" s="664" t="s">
        <v>99</v>
      </c>
      <c r="AB165" s="667"/>
    </row>
    <row r="166" spans="1:28" ht="14.4" customHeight="1" x14ac:dyDescent="0.3">
      <c r="A166" s="627"/>
      <c r="B166" s="628"/>
      <c r="C166" s="655" t="s">
        <v>142</v>
      </c>
      <c r="D166" s="656"/>
      <c r="E166" s="672" t="s">
        <v>113</v>
      </c>
      <c r="F166" s="664"/>
      <c r="G166" s="664" t="s">
        <v>113</v>
      </c>
      <c r="H166" s="664"/>
      <c r="I166" s="664" t="s">
        <v>113</v>
      </c>
      <c r="J166" s="664"/>
      <c r="K166" s="664" t="s">
        <v>113</v>
      </c>
      <c r="L166" s="664"/>
      <c r="M166" s="664" t="s">
        <v>113</v>
      </c>
      <c r="N166" s="664"/>
      <c r="O166" s="664" t="s">
        <v>113</v>
      </c>
      <c r="P166" s="664"/>
      <c r="Q166" s="664" t="s">
        <v>113</v>
      </c>
      <c r="R166" s="664"/>
      <c r="S166" s="664" t="s">
        <v>113</v>
      </c>
      <c r="T166" s="664"/>
      <c r="U166" s="664" t="s">
        <v>113</v>
      </c>
      <c r="V166" s="664"/>
      <c r="W166" s="664" t="s">
        <v>113</v>
      </c>
      <c r="X166" s="664"/>
      <c r="Y166" s="664" t="s">
        <v>113</v>
      </c>
      <c r="Z166" s="664"/>
      <c r="AA166" s="664" t="s">
        <v>99</v>
      </c>
      <c r="AB166" s="667"/>
    </row>
    <row r="167" spans="1:28" ht="14.4" customHeight="1" x14ac:dyDescent="0.3">
      <c r="A167" s="627"/>
      <c r="B167" s="628"/>
      <c r="C167" s="655" t="s">
        <v>143</v>
      </c>
      <c r="D167" s="656"/>
      <c r="E167" s="672" t="s">
        <v>113</v>
      </c>
      <c r="F167" s="664"/>
      <c r="G167" s="664" t="s">
        <v>113</v>
      </c>
      <c r="H167" s="664"/>
      <c r="I167" s="664" t="s">
        <v>113</v>
      </c>
      <c r="J167" s="664"/>
      <c r="K167" s="664" t="s">
        <v>113</v>
      </c>
      <c r="L167" s="664"/>
      <c r="M167" s="664" t="s">
        <v>113</v>
      </c>
      <c r="N167" s="664"/>
      <c r="O167" s="664" t="s">
        <v>113</v>
      </c>
      <c r="P167" s="664"/>
      <c r="Q167" s="664" t="s">
        <v>113</v>
      </c>
      <c r="R167" s="664"/>
      <c r="S167" s="664" t="s">
        <v>113</v>
      </c>
      <c r="T167" s="664"/>
      <c r="U167" s="664" t="s">
        <v>113</v>
      </c>
      <c r="V167" s="664"/>
      <c r="W167" s="664" t="s">
        <v>113</v>
      </c>
      <c r="X167" s="664"/>
      <c r="Y167" s="664" t="s">
        <v>113</v>
      </c>
      <c r="Z167" s="664"/>
      <c r="AA167" s="664" t="s">
        <v>99</v>
      </c>
      <c r="AB167" s="667"/>
    </row>
    <row r="168" spans="1:28" ht="14.4" customHeight="1" x14ac:dyDescent="0.3">
      <c r="A168" s="627"/>
      <c r="B168" s="628"/>
      <c r="C168" s="655" t="s">
        <v>144</v>
      </c>
      <c r="D168" s="656"/>
      <c r="E168" s="672" t="s">
        <v>113</v>
      </c>
      <c r="F168" s="664"/>
      <c r="G168" s="664" t="s">
        <v>113</v>
      </c>
      <c r="H168" s="664"/>
      <c r="I168" s="664" t="s">
        <v>113</v>
      </c>
      <c r="J168" s="664"/>
      <c r="K168" s="664" t="s">
        <v>113</v>
      </c>
      <c r="L168" s="664"/>
      <c r="M168" s="664" t="s">
        <v>113</v>
      </c>
      <c r="N168" s="664"/>
      <c r="O168" s="664" t="s">
        <v>113</v>
      </c>
      <c r="P168" s="664"/>
      <c r="Q168" s="664" t="s">
        <v>113</v>
      </c>
      <c r="R168" s="664"/>
      <c r="S168" s="664" t="s">
        <v>113</v>
      </c>
      <c r="T168" s="664"/>
      <c r="U168" s="664" t="s">
        <v>113</v>
      </c>
      <c r="V168" s="664"/>
      <c r="W168" s="664" t="s">
        <v>113</v>
      </c>
      <c r="X168" s="664"/>
      <c r="Y168" s="664" t="s">
        <v>113</v>
      </c>
      <c r="Z168" s="664"/>
      <c r="AA168" s="664" t="s">
        <v>99</v>
      </c>
      <c r="AB168" s="667"/>
    </row>
    <row r="169" spans="1:28" ht="14.4" customHeight="1" x14ac:dyDescent="0.3">
      <c r="A169" s="627"/>
      <c r="B169" s="628"/>
      <c r="C169" s="655" t="s">
        <v>145</v>
      </c>
      <c r="D169" s="656"/>
      <c r="E169" s="672" t="s">
        <v>113</v>
      </c>
      <c r="F169" s="664"/>
      <c r="G169" s="664" t="s">
        <v>113</v>
      </c>
      <c r="H169" s="664"/>
      <c r="I169" s="664" t="s">
        <v>113</v>
      </c>
      <c r="J169" s="664"/>
      <c r="K169" s="664" t="s">
        <v>113</v>
      </c>
      <c r="L169" s="664"/>
      <c r="M169" s="664" t="s">
        <v>113</v>
      </c>
      <c r="N169" s="664"/>
      <c r="O169" s="664" t="s">
        <v>113</v>
      </c>
      <c r="P169" s="664"/>
      <c r="Q169" s="664" t="s">
        <v>113</v>
      </c>
      <c r="R169" s="664"/>
      <c r="S169" s="664" t="s">
        <v>113</v>
      </c>
      <c r="T169" s="664"/>
      <c r="U169" s="664" t="s">
        <v>113</v>
      </c>
      <c r="V169" s="664"/>
      <c r="W169" s="664" t="s">
        <v>113</v>
      </c>
      <c r="X169" s="664"/>
      <c r="Y169" s="664" t="s">
        <v>113</v>
      </c>
      <c r="Z169" s="664"/>
      <c r="AA169" s="664" t="s">
        <v>99</v>
      </c>
      <c r="AB169" s="667"/>
    </row>
    <row r="170" spans="1:28" ht="14.4" customHeight="1" x14ac:dyDescent="0.3">
      <c r="A170" s="627"/>
      <c r="B170" s="628"/>
      <c r="C170" s="655" t="s">
        <v>146</v>
      </c>
      <c r="D170" s="656"/>
      <c r="E170" s="672" t="s">
        <v>113</v>
      </c>
      <c r="F170" s="664"/>
      <c r="G170" s="664" t="s">
        <v>113</v>
      </c>
      <c r="H170" s="664"/>
      <c r="I170" s="664" t="s">
        <v>113</v>
      </c>
      <c r="J170" s="664"/>
      <c r="K170" s="664" t="s">
        <v>113</v>
      </c>
      <c r="L170" s="664"/>
      <c r="M170" s="664" t="s">
        <v>113</v>
      </c>
      <c r="N170" s="664"/>
      <c r="O170" s="664" t="s">
        <v>113</v>
      </c>
      <c r="P170" s="664"/>
      <c r="Q170" s="664" t="s">
        <v>113</v>
      </c>
      <c r="R170" s="664"/>
      <c r="S170" s="664" t="s">
        <v>113</v>
      </c>
      <c r="T170" s="664"/>
      <c r="U170" s="664" t="s">
        <v>113</v>
      </c>
      <c r="V170" s="664"/>
      <c r="W170" s="664" t="s">
        <v>113</v>
      </c>
      <c r="X170" s="664"/>
      <c r="Y170" s="664" t="s">
        <v>113</v>
      </c>
      <c r="Z170" s="664"/>
      <c r="AA170" s="664" t="s">
        <v>99</v>
      </c>
      <c r="AB170" s="667"/>
    </row>
    <row r="171" spans="1:28" ht="14.4" customHeight="1" x14ac:dyDescent="0.3">
      <c r="A171" s="627"/>
      <c r="B171" s="628"/>
      <c r="C171" s="655" t="s">
        <v>147</v>
      </c>
      <c r="D171" s="656"/>
      <c r="E171" s="672" t="s">
        <v>113</v>
      </c>
      <c r="F171" s="664"/>
      <c r="G171" s="664" t="s">
        <v>113</v>
      </c>
      <c r="H171" s="664"/>
      <c r="I171" s="664" t="s">
        <v>113</v>
      </c>
      <c r="J171" s="664"/>
      <c r="K171" s="664" t="s">
        <v>113</v>
      </c>
      <c r="L171" s="664"/>
      <c r="M171" s="664" t="s">
        <v>113</v>
      </c>
      <c r="N171" s="664"/>
      <c r="O171" s="664" t="s">
        <v>113</v>
      </c>
      <c r="P171" s="664"/>
      <c r="Q171" s="664" t="s">
        <v>113</v>
      </c>
      <c r="R171" s="664"/>
      <c r="S171" s="664" t="s">
        <v>113</v>
      </c>
      <c r="T171" s="664"/>
      <c r="U171" s="664" t="s">
        <v>113</v>
      </c>
      <c r="V171" s="664"/>
      <c r="W171" s="664" t="s">
        <v>113</v>
      </c>
      <c r="X171" s="664"/>
      <c r="Y171" s="664" t="s">
        <v>113</v>
      </c>
      <c r="Z171" s="664"/>
      <c r="AA171" s="664" t="s">
        <v>99</v>
      </c>
      <c r="AB171" s="667"/>
    </row>
    <row r="172" spans="1:28" ht="14.4" customHeight="1" x14ac:dyDescent="0.3">
      <c r="A172" s="627"/>
      <c r="B172" s="628"/>
      <c r="C172" s="655" t="s">
        <v>148</v>
      </c>
      <c r="D172" s="656"/>
      <c r="E172" s="672" t="s">
        <v>113</v>
      </c>
      <c r="F172" s="664"/>
      <c r="G172" s="664" t="s">
        <v>113</v>
      </c>
      <c r="H172" s="664"/>
      <c r="I172" s="664" t="s">
        <v>113</v>
      </c>
      <c r="J172" s="664"/>
      <c r="K172" s="664" t="s">
        <v>113</v>
      </c>
      <c r="L172" s="664"/>
      <c r="M172" s="664" t="s">
        <v>113</v>
      </c>
      <c r="N172" s="664"/>
      <c r="O172" s="664" t="s">
        <v>113</v>
      </c>
      <c r="P172" s="664"/>
      <c r="Q172" s="664" t="s">
        <v>113</v>
      </c>
      <c r="R172" s="664"/>
      <c r="S172" s="664" t="s">
        <v>113</v>
      </c>
      <c r="T172" s="664"/>
      <c r="U172" s="664" t="s">
        <v>113</v>
      </c>
      <c r="V172" s="664"/>
      <c r="W172" s="664" t="s">
        <v>113</v>
      </c>
      <c r="X172" s="664"/>
      <c r="Y172" s="664" t="s">
        <v>113</v>
      </c>
      <c r="Z172" s="664"/>
      <c r="AA172" s="664" t="s">
        <v>99</v>
      </c>
      <c r="AB172" s="667"/>
    </row>
    <row r="173" spans="1:28" ht="14.4" customHeight="1" x14ac:dyDescent="0.3">
      <c r="A173" s="627"/>
      <c r="B173" s="628"/>
      <c r="C173" s="655" t="s">
        <v>149</v>
      </c>
      <c r="D173" s="656"/>
      <c r="E173" s="672" t="s">
        <v>113</v>
      </c>
      <c r="F173" s="664"/>
      <c r="G173" s="664" t="s">
        <v>113</v>
      </c>
      <c r="H173" s="664"/>
      <c r="I173" s="664" t="s">
        <v>113</v>
      </c>
      <c r="J173" s="664"/>
      <c r="K173" s="664" t="s">
        <v>113</v>
      </c>
      <c r="L173" s="664"/>
      <c r="M173" s="664" t="s">
        <v>113</v>
      </c>
      <c r="N173" s="664"/>
      <c r="O173" s="664" t="s">
        <v>113</v>
      </c>
      <c r="P173" s="664"/>
      <c r="Q173" s="664" t="s">
        <v>113</v>
      </c>
      <c r="R173" s="664"/>
      <c r="S173" s="664" t="s">
        <v>113</v>
      </c>
      <c r="T173" s="664"/>
      <c r="U173" s="664" t="s">
        <v>113</v>
      </c>
      <c r="V173" s="664"/>
      <c r="W173" s="664" t="s">
        <v>113</v>
      </c>
      <c r="X173" s="664"/>
      <c r="Y173" s="664" t="s">
        <v>113</v>
      </c>
      <c r="Z173" s="664"/>
      <c r="AA173" s="664" t="s">
        <v>99</v>
      </c>
      <c r="AB173" s="667"/>
    </row>
    <row r="174" spans="1:28" ht="14.4" customHeight="1" x14ac:dyDescent="0.3">
      <c r="A174" s="627"/>
      <c r="B174" s="628"/>
      <c r="C174" s="655" t="s">
        <v>152</v>
      </c>
      <c r="D174" s="656"/>
      <c r="E174" s="672" t="s">
        <v>113</v>
      </c>
      <c r="F174" s="664"/>
      <c r="G174" s="664" t="s">
        <v>113</v>
      </c>
      <c r="H174" s="664"/>
      <c r="I174" s="664" t="s">
        <v>113</v>
      </c>
      <c r="J174" s="664"/>
      <c r="K174" s="664" t="s">
        <v>113</v>
      </c>
      <c r="L174" s="664"/>
      <c r="M174" s="664" t="s">
        <v>113</v>
      </c>
      <c r="N174" s="664"/>
      <c r="O174" s="664" t="s">
        <v>113</v>
      </c>
      <c r="P174" s="664"/>
      <c r="Q174" s="664" t="s">
        <v>113</v>
      </c>
      <c r="R174" s="664"/>
      <c r="S174" s="664" t="s">
        <v>113</v>
      </c>
      <c r="T174" s="664"/>
      <c r="U174" s="664" t="s">
        <v>113</v>
      </c>
      <c r="V174" s="664"/>
      <c r="W174" s="664" t="s">
        <v>113</v>
      </c>
      <c r="X174" s="664"/>
      <c r="Y174" s="664" t="s">
        <v>113</v>
      </c>
      <c r="Z174" s="664"/>
      <c r="AA174" s="664" t="s">
        <v>99</v>
      </c>
      <c r="AB174" s="667"/>
    </row>
    <row r="175" spans="1:28" ht="14.4" customHeight="1" x14ac:dyDescent="0.3">
      <c r="A175" s="627"/>
      <c r="B175" s="628"/>
      <c r="C175" s="655" t="s">
        <v>151</v>
      </c>
      <c r="D175" s="656"/>
      <c r="E175" s="672" t="s">
        <v>113</v>
      </c>
      <c r="F175" s="664"/>
      <c r="G175" s="664" t="s">
        <v>113</v>
      </c>
      <c r="H175" s="664"/>
      <c r="I175" s="664" t="s">
        <v>113</v>
      </c>
      <c r="J175" s="664"/>
      <c r="K175" s="664" t="s">
        <v>113</v>
      </c>
      <c r="L175" s="664"/>
      <c r="M175" s="664" t="s">
        <v>113</v>
      </c>
      <c r="N175" s="664"/>
      <c r="O175" s="664" t="s">
        <v>113</v>
      </c>
      <c r="P175" s="664"/>
      <c r="Q175" s="664" t="s">
        <v>113</v>
      </c>
      <c r="R175" s="664"/>
      <c r="S175" s="664" t="s">
        <v>113</v>
      </c>
      <c r="T175" s="664"/>
      <c r="U175" s="664" t="s">
        <v>113</v>
      </c>
      <c r="V175" s="664"/>
      <c r="W175" s="664" t="s">
        <v>113</v>
      </c>
      <c r="X175" s="664"/>
      <c r="Y175" s="664" t="s">
        <v>113</v>
      </c>
      <c r="Z175" s="664"/>
      <c r="AA175" s="664" t="s">
        <v>99</v>
      </c>
      <c r="AB175" s="667"/>
    </row>
    <row r="176" spans="1:28" ht="14.4" customHeight="1" x14ac:dyDescent="0.3">
      <c r="A176" s="627"/>
      <c r="B176" s="628"/>
      <c r="C176" s="655" t="s">
        <v>153</v>
      </c>
      <c r="D176" s="656" t="s">
        <v>153</v>
      </c>
      <c r="E176" s="672" t="s">
        <v>113</v>
      </c>
      <c r="F176" s="664"/>
      <c r="G176" s="664" t="s">
        <v>113</v>
      </c>
      <c r="H176" s="664"/>
      <c r="I176" s="664" t="s">
        <v>113</v>
      </c>
      <c r="J176" s="664"/>
      <c r="K176" s="664" t="s">
        <v>113</v>
      </c>
      <c r="L176" s="664"/>
      <c r="M176" s="664" t="s">
        <v>113</v>
      </c>
      <c r="N176" s="664"/>
      <c r="O176" s="664" t="s">
        <v>113</v>
      </c>
      <c r="P176" s="664"/>
      <c r="Q176" s="664" t="s">
        <v>113</v>
      </c>
      <c r="R176" s="664"/>
      <c r="S176" s="664" t="s">
        <v>113</v>
      </c>
      <c r="T176" s="664"/>
      <c r="U176" s="664" t="s">
        <v>113</v>
      </c>
      <c r="V176" s="664"/>
      <c r="W176" s="664" t="s">
        <v>113</v>
      </c>
      <c r="X176" s="664"/>
      <c r="Y176" s="664" t="s">
        <v>113</v>
      </c>
      <c r="Z176" s="664"/>
      <c r="AA176" s="664" t="s">
        <v>99</v>
      </c>
      <c r="AB176" s="667"/>
    </row>
    <row r="177" spans="1:28" ht="14.4" customHeight="1" x14ac:dyDescent="0.3">
      <c r="A177" s="627"/>
      <c r="B177" s="628"/>
      <c r="C177" s="655" t="s">
        <v>160</v>
      </c>
      <c r="D177" s="656"/>
      <c r="E177" s="672" t="s">
        <v>113</v>
      </c>
      <c r="F177" s="664"/>
      <c r="G177" s="664" t="s">
        <v>113</v>
      </c>
      <c r="H177" s="664"/>
      <c r="I177" s="664" t="s">
        <v>113</v>
      </c>
      <c r="J177" s="664"/>
      <c r="K177" s="664" t="s">
        <v>113</v>
      </c>
      <c r="L177" s="664"/>
      <c r="M177" s="664" t="s">
        <v>113</v>
      </c>
      <c r="N177" s="664"/>
      <c r="O177" s="664" t="s">
        <v>113</v>
      </c>
      <c r="P177" s="664"/>
      <c r="Q177" s="664" t="s">
        <v>113</v>
      </c>
      <c r="R177" s="664"/>
      <c r="S177" s="664" t="s">
        <v>113</v>
      </c>
      <c r="T177" s="664"/>
      <c r="U177" s="664" t="s">
        <v>113</v>
      </c>
      <c r="V177" s="664"/>
      <c r="W177" s="664" t="s">
        <v>113</v>
      </c>
      <c r="X177" s="664"/>
      <c r="Y177" s="664" t="s">
        <v>113</v>
      </c>
      <c r="Z177" s="664"/>
      <c r="AA177" s="664" t="s">
        <v>99</v>
      </c>
      <c r="AB177" s="667"/>
    </row>
    <row r="178" spans="1:28" ht="14.4" customHeight="1" x14ac:dyDescent="0.3">
      <c r="A178" s="627"/>
      <c r="B178" s="628"/>
      <c r="C178" s="655" t="s">
        <v>162</v>
      </c>
      <c r="D178" s="656"/>
      <c r="E178" s="672" t="s">
        <v>113</v>
      </c>
      <c r="F178" s="664"/>
      <c r="G178" s="664" t="s">
        <v>113</v>
      </c>
      <c r="H178" s="664"/>
      <c r="I178" s="673" t="s">
        <v>164</v>
      </c>
      <c r="J178" s="673"/>
      <c r="K178" s="664" t="s">
        <v>113</v>
      </c>
      <c r="L178" s="664"/>
      <c r="M178" s="664" t="s">
        <v>113</v>
      </c>
      <c r="N178" s="664"/>
      <c r="O178" s="664" t="s">
        <v>113</v>
      </c>
      <c r="P178" s="664"/>
      <c r="Q178" s="664" t="s">
        <v>113</v>
      </c>
      <c r="R178" s="664"/>
      <c r="S178" s="664" t="s">
        <v>113</v>
      </c>
      <c r="T178" s="664"/>
      <c r="U178" s="664" t="s">
        <v>113</v>
      </c>
      <c r="V178" s="664"/>
      <c r="W178" s="664" t="s">
        <v>113</v>
      </c>
      <c r="X178" s="664"/>
      <c r="Y178" s="664" t="s">
        <v>113</v>
      </c>
      <c r="Z178" s="664"/>
      <c r="AA178" s="664" t="s">
        <v>113</v>
      </c>
      <c r="AB178" s="667"/>
    </row>
    <row r="179" spans="1:28" ht="14.4" customHeight="1" x14ac:dyDescent="0.3">
      <c r="A179" s="627"/>
      <c r="B179" s="628"/>
      <c r="C179" s="655" t="s">
        <v>163</v>
      </c>
      <c r="D179" s="656"/>
      <c r="E179" s="672" t="s">
        <v>113</v>
      </c>
      <c r="F179" s="664"/>
      <c r="G179" s="664" t="s">
        <v>113</v>
      </c>
      <c r="H179" s="664"/>
      <c r="I179" s="673" t="s">
        <v>165</v>
      </c>
      <c r="J179" s="673"/>
      <c r="K179" s="664" t="s">
        <v>113</v>
      </c>
      <c r="L179" s="664"/>
      <c r="M179" s="664" t="s">
        <v>113</v>
      </c>
      <c r="N179" s="664"/>
      <c r="O179" s="664" t="s">
        <v>113</v>
      </c>
      <c r="P179" s="664"/>
      <c r="Q179" s="664" t="s">
        <v>113</v>
      </c>
      <c r="R179" s="664"/>
      <c r="S179" s="664" t="s">
        <v>113</v>
      </c>
      <c r="T179" s="664"/>
      <c r="U179" s="664" t="s">
        <v>113</v>
      </c>
      <c r="V179" s="664"/>
      <c r="W179" s="664" t="s">
        <v>113</v>
      </c>
      <c r="X179" s="664"/>
      <c r="Y179" s="664" t="s">
        <v>113</v>
      </c>
      <c r="Z179" s="664"/>
      <c r="AA179" s="664" t="s">
        <v>113</v>
      </c>
      <c r="AB179" s="667"/>
    </row>
    <row r="180" spans="1:28" ht="14.4" customHeight="1" thickBot="1" x14ac:dyDescent="0.35">
      <c r="A180" s="635"/>
      <c r="B180" s="636"/>
      <c r="C180" s="649" t="s">
        <v>161</v>
      </c>
      <c r="D180" s="650"/>
      <c r="E180" s="668" t="s">
        <v>454</v>
      </c>
      <c r="F180" s="669"/>
      <c r="G180" s="670" t="s">
        <v>113</v>
      </c>
      <c r="H180" s="670"/>
      <c r="I180" s="670" t="s">
        <v>113</v>
      </c>
      <c r="J180" s="670"/>
      <c r="K180" s="670" t="s">
        <v>113</v>
      </c>
      <c r="L180" s="670"/>
      <c r="M180" s="670" t="s">
        <v>113</v>
      </c>
      <c r="N180" s="670"/>
      <c r="O180" s="670" t="s">
        <v>113</v>
      </c>
      <c r="P180" s="670"/>
      <c r="Q180" s="670" t="s">
        <v>113</v>
      </c>
      <c r="R180" s="670"/>
      <c r="S180" s="670" t="s">
        <v>113</v>
      </c>
      <c r="T180" s="670"/>
      <c r="U180" s="670" t="s">
        <v>113</v>
      </c>
      <c r="V180" s="670"/>
      <c r="W180" s="670" t="s">
        <v>113</v>
      </c>
      <c r="X180" s="670"/>
      <c r="Y180" s="670" t="s">
        <v>113</v>
      </c>
      <c r="Z180" s="670"/>
      <c r="AA180" s="670" t="s">
        <v>99</v>
      </c>
      <c r="AB180" s="671"/>
    </row>
    <row r="181" spans="1:28" x14ac:dyDescent="0.3">
      <c r="A181" s="631" t="s">
        <v>200</v>
      </c>
      <c r="B181" s="632"/>
      <c r="C181" s="676" t="s">
        <v>214</v>
      </c>
      <c r="D181" s="677"/>
      <c r="E181" s="660" t="s">
        <v>113</v>
      </c>
      <c r="F181" s="661"/>
      <c r="G181" s="678" t="s">
        <v>313</v>
      </c>
      <c r="H181" s="679"/>
      <c r="I181" s="662" t="s">
        <v>113</v>
      </c>
      <c r="J181" s="661"/>
      <c r="K181" s="662" t="s">
        <v>113</v>
      </c>
      <c r="L181" s="661"/>
      <c r="M181" s="662" t="s">
        <v>113</v>
      </c>
      <c r="N181" s="661"/>
      <c r="O181" s="662" t="s">
        <v>113</v>
      </c>
      <c r="P181" s="661"/>
      <c r="Q181" s="662" t="s">
        <v>113</v>
      </c>
      <c r="R181" s="661"/>
      <c r="S181" s="662" t="s">
        <v>113</v>
      </c>
      <c r="T181" s="661"/>
      <c r="U181" s="662" t="s">
        <v>113</v>
      </c>
      <c r="V181" s="661"/>
      <c r="W181" s="662" t="s">
        <v>113</v>
      </c>
      <c r="X181" s="661"/>
      <c r="Y181" s="662" t="s">
        <v>113</v>
      </c>
      <c r="Z181" s="663"/>
      <c r="AA181" s="662" t="s">
        <v>113</v>
      </c>
      <c r="AB181" s="663"/>
    </row>
    <row r="182" spans="1:28" ht="15" customHeight="1" x14ac:dyDescent="0.3">
      <c r="A182" s="633"/>
      <c r="B182" s="634"/>
      <c r="C182" s="655" t="s">
        <v>302</v>
      </c>
      <c r="D182" s="656"/>
      <c r="E182" s="657" t="s">
        <v>113</v>
      </c>
      <c r="F182" s="647"/>
      <c r="G182" s="665" t="s">
        <v>299</v>
      </c>
      <c r="H182" s="666"/>
      <c r="I182" s="646" t="s">
        <v>113</v>
      </c>
      <c r="J182" s="647"/>
      <c r="K182" s="646" t="s">
        <v>113</v>
      </c>
      <c r="L182" s="647"/>
      <c r="M182" s="646" t="s">
        <v>113</v>
      </c>
      <c r="N182" s="647"/>
      <c r="O182" s="646" t="s">
        <v>113</v>
      </c>
      <c r="P182" s="647"/>
      <c r="Q182" s="646" t="s">
        <v>113</v>
      </c>
      <c r="R182" s="647"/>
      <c r="S182" s="646" t="s">
        <v>113</v>
      </c>
      <c r="T182" s="647"/>
      <c r="U182" s="646" t="s">
        <v>113</v>
      </c>
      <c r="V182" s="647"/>
      <c r="W182" s="646" t="s">
        <v>113</v>
      </c>
      <c r="X182" s="647"/>
      <c r="Y182" s="646" t="s">
        <v>113</v>
      </c>
      <c r="Z182" s="647"/>
      <c r="AA182" s="646" t="s">
        <v>113</v>
      </c>
      <c r="AB182" s="648"/>
    </row>
    <row r="183" spans="1:28" ht="15" customHeight="1" x14ac:dyDescent="0.3">
      <c r="A183" s="633"/>
      <c r="B183" s="634"/>
      <c r="C183" s="655" t="s">
        <v>309</v>
      </c>
      <c r="D183" s="656"/>
      <c r="E183" s="657" t="s">
        <v>113</v>
      </c>
      <c r="F183" s="647"/>
      <c r="G183" s="646" t="s">
        <v>113</v>
      </c>
      <c r="H183" s="647"/>
      <c r="I183" s="646" t="s">
        <v>113</v>
      </c>
      <c r="J183" s="647"/>
      <c r="K183" s="646" t="s">
        <v>113</v>
      </c>
      <c r="L183" s="647"/>
      <c r="M183" s="646" t="s">
        <v>113</v>
      </c>
      <c r="N183" s="647"/>
      <c r="O183" s="646" t="s">
        <v>113</v>
      </c>
      <c r="P183" s="647"/>
      <c r="Q183" s="646" t="s">
        <v>113</v>
      </c>
      <c r="R183" s="647"/>
      <c r="S183" s="646" t="s">
        <v>113</v>
      </c>
      <c r="T183" s="647"/>
      <c r="U183" s="646" t="s">
        <v>113</v>
      </c>
      <c r="V183" s="647"/>
      <c r="W183" s="646" t="s">
        <v>113</v>
      </c>
      <c r="X183" s="647"/>
      <c r="Y183" s="646" t="s">
        <v>113</v>
      </c>
      <c r="Z183" s="647"/>
      <c r="AA183" s="646" t="s">
        <v>113</v>
      </c>
      <c r="AB183" s="648"/>
    </row>
    <row r="184" spans="1:28" ht="15" customHeight="1" x14ac:dyDescent="0.3">
      <c r="A184" s="633"/>
      <c r="B184" s="634"/>
      <c r="C184" s="655" t="s">
        <v>310</v>
      </c>
      <c r="D184" s="656"/>
      <c r="E184" s="657" t="s">
        <v>113</v>
      </c>
      <c r="F184" s="647"/>
      <c r="G184" s="646" t="s">
        <v>113</v>
      </c>
      <c r="H184" s="647"/>
      <c r="I184" s="646" t="s">
        <v>113</v>
      </c>
      <c r="J184" s="647"/>
      <c r="K184" s="646" t="s">
        <v>113</v>
      </c>
      <c r="L184" s="647"/>
      <c r="M184" s="646" t="s">
        <v>113</v>
      </c>
      <c r="N184" s="647"/>
      <c r="O184" s="646" t="s">
        <v>113</v>
      </c>
      <c r="P184" s="647"/>
      <c r="Q184" s="646" t="s">
        <v>113</v>
      </c>
      <c r="R184" s="647"/>
      <c r="S184" s="646" t="s">
        <v>113</v>
      </c>
      <c r="T184" s="647"/>
      <c r="U184" s="646" t="s">
        <v>113</v>
      </c>
      <c r="V184" s="647"/>
      <c r="W184" s="646" t="s">
        <v>113</v>
      </c>
      <c r="X184" s="647"/>
      <c r="Y184" s="646" t="s">
        <v>113</v>
      </c>
      <c r="Z184" s="647"/>
      <c r="AA184" s="646" t="s">
        <v>113</v>
      </c>
      <c r="AB184" s="648"/>
    </row>
    <row r="185" spans="1:28" ht="15" customHeight="1" x14ac:dyDescent="0.3">
      <c r="A185" s="633"/>
      <c r="B185" s="634"/>
      <c r="C185" s="655" t="s">
        <v>448</v>
      </c>
      <c r="D185" s="656"/>
      <c r="E185" s="657" t="s">
        <v>113</v>
      </c>
      <c r="F185" s="647"/>
      <c r="G185" s="646" t="s">
        <v>113</v>
      </c>
      <c r="H185" s="647"/>
      <c r="I185" s="664" t="s">
        <v>113</v>
      </c>
      <c r="J185" s="664"/>
      <c r="K185" s="665" t="s">
        <v>441</v>
      </c>
      <c r="L185" s="666"/>
      <c r="M185" s="646" t="s">
        <v>113</v>
      </c>
      <c r="N185" s="647"/>
      <c r="O185" s="646" t="s">
        <v>113</v>
      </c>
      <c r="P185" s="647"/>
      <c r="Q185" s="646" t="s">
        <v>113</v>
      </c>
      <c r="R185" s="647"/>
      <c r="S185" s="646" t="s">
        <v>113</v>
      </c>
      <c r="T185" s="647"/>
      <c r="U185" s="646" t="s">
        <v>113</v>
      </c>
      <c r="V185" s="647"/>
      <c r="W185" s="646" t="s">
        <v>113</v>
      </c>
      <c r="X185" s="647"/>
      <c r="Y185" s="646" t="s">
        <v>113</v>
      </c>
      <c r="Z185" s="647"/>
      <c r="AA185" s="664" t="s">
        <v>99</v>
      </c>
      <c r="AB185" s="667"/>
    </row>
    <row r="186" spans="1:28" ht="15" customHeight="1" x14ac:dyDescent="0.3">
      <c r="A186" s="633"/>
      <c r="B186" s="634"/>
      <c r="C186" s="655" t="s">
        <v>449</v>
      </c>
      <c r="D186" s="656"/>
      <c r="E186" s="657" t="s">
        <v>113</v>
      </c>
      <c r="F186" s="647"/>
      <c r="G186" s="646" t="s">
        <v>113</v>
      </c>
      <c r="H186" s="647"/>
      <c r="I186" s="664" t="s">
        <v>113</v>
      </c>
      <c r="J186" s="664"/>
      <c r="K186" s="646" t="s">
        <v>113</v>
      </c>
      <c r="L186" s="647"/>
      <c r="M186" s="665" t="s">
        <v>455</v>
      </c>
      <c r="N186" s="666"/>
      <c r="O186" s="646" t="s">
        <v>113</v>
      </c>
      <c r="P186" s="647"/>
      <c r="Q186" s="646" t="s">
        <v>113</v>
      </c>
      <c r="R186" s="647"/>
      <c r="S186" s="646" t="s">
        <v>113</v>
      </c>
      <c r="T186" s="647"/>
      <c r="U186" s="646" t="s">
        <v>113</v>
      </c>
      <c r="V186" s="647"/>
      <c r="W186" s="646" t="s">
        <v>113</v>
      </c>
      <c r="X186" s="647"/>
      <c r="Y186" s="646" t="s">
        <v>113</v>
      </c>
      <c r="Z186" s="647"/>
      <c r="AA186" s="664" t="s">
        <v>99</v>
      </c>
      <c r="AB186" s="667"/>
    </row>
    <row r="187" spans="1:28" ht="15" customHeight="1" thickBot="1" x14ac:dyDescent="0.35">
      <c r="A187" s="633"/>
      <c r="B187" s="634"/>
      <c r="C187" s="655" t="s">
        <v>450</v>
      </c>
      <c r="D187" s="656"/>
      <c r="E187" s="657" t="s">
        <v>113</v>
      </c>
      <c r="F187" s="647"/>
      <c r="G187" s="646" t="s">
        <v>113</v>
      </c>
      <c r="H187" s="647"/>
      <c r="I187" s="664" t="s">
        <v>113</v>
      </c>
      <c r="J187" s="664"/>
      <c r="K187" s="646" t="s">
        <v>113</v>
      </c>
      <c r="L187" s="647"/>
      <c r="M187" s="646" t="s">
        <v>113</v>
      </c>
      <c r="N187" s="647"/>
      <c r="O187" s="665" t="s">
        <v>456</v>
      </c>
      <c r="P187" s="666"/>
      <c r="Q187" s="646" t="s">
        <v>113</v>
      </c>
      <c r="R187" s="647"/>
      <c r="S187" s="646" t="s">
        <v>113</v>
      </c>
      <c r="T187" s="647"/>
      <c r="U187" s="646" t="s">
        <v>113</v>
      </c>
      <c r="V187" s="647"/>
      <c r="W187" s="646" t="s">
        <v>113</v>
      </c>
      <c r="X187" s="647"/>
      <c r="Y187" s="646" t="s">
        <v>113</v>
      </c>
      <c r="Z187" s="647"/>
      <c r="AA187" s="664" t="s">
        <v>99</v>
      </c>
      <c r="AB187" s="667"/>
    </row>
    <row r="188" spans="1:28" ht="15" customHeight="1" x14ac:dyDescent="0.3">
      <c r="A188" s="625" t="s">
        <v>100</v>
      </c>
      <c r="B188" s="626"/>
      <c r="C188" s="658" t="s">
        <v>111</v>
      </c>
      <c r="D188" s="659" t="s">
        <v>111</v>
      </c>
      <c r="E188" s="660" t="s">
        <v>113</v>
      </c>
      <c r="F188" s="661"/>
      <c r="G188" s="662" t="s">
        <v>113</v>
      </c>
      <c r="H188" s="661"/>
      <c r="I188" s="662" t="s">
        <v>113</v>
      </c>
      <c r="J188" s="661"/>
      <c r="K188" s="662" t="s">
        <v>113</v>
      </c>
      <c r="L188" s="661"/>
      <c r="M188" s="662" t="s">
        <v>113</v>
      </c>
      <c r="N188" s="661"/>
      <c r="O188" s="662" t="s">
        <v>113</v>
      </c>
      <c r="P188" s="661"/>
      <c r="Q188" s="662" t="s">
        <v>113</v>
      </c>
      <c r="R188" s="661"/>
      <c r="S188" s="662" t="s">
        <v>113</v>
      </c>
      <c r="T188" s="661"/>
      <c r="U188" s="662" t="s">
        <v>113</v>
      </c>
      <c r="V188" s="661"/>
      <c r="W188" s="662" t="s">
        <v>113</v>
      </c>
      <c r="X188" s="661"/>
      <c r="Y188" s="662" t="s">
        <v>113</v>
      </c>
      <c r="Z188" s="661"/>
      <c r="AA188" s="662" t="s">
        <v>113</v>
      </c>
      <c r="AB188" s="663"/>
    </row>
    <row r="189" spans="1:28" ht="15" customHeight="1" x14ac:dyDescent="0.3">
      <c r="A189" s="627"/>
      <c r="B189" s="628"/>
      <c r="C189" s="655" t="s">
        <v>110</v>
      </c>
      <c r="D189" s="656" t="s">
        <v>110</v>
      </c>
      <c r="E189" s="657" t="s">
        <v>113</v>
      </c>
      <c r="F189" s="647"/>
      <c r="G189" s="646" t="s">
        <v>113</v>
      </c>
      <c r="H189" s="647"/>
      <c r="I189" s="646" t="s">
        <v>113</v>
      </c>
      <c r="J189" s="647"/>
      <c r="K189" s="646" t="s">
        <v>113</v>
      </c>
      <c r="L189" s="647"/>
      <c r="M189" s="646" t="s">
        <v>113</v>
      </c>
      <c r="N189" s="647"/>
      <c r="O189" s="646" t="s">
        <v>113</v>
      </c>
      <c r="P189" s="647"/>
      <c r="Q189" s="646" t="s">
        <v>113</v>
      </c>
      <c r="R189" s="647"/>
      <c r="S189" s="646" t="s">
        <v>113</v>
      </c>
      <c r="T189" s="647"/>
      <c r="U189" s="646" t="s">
        <v>113</v>
      </c>
      <c r="V189" s="647"/>
      <c r="W189" s="646" t="s">
        <v>113</v>
      </c>
      <c r="X189" s="647"/>
      <c r="Y189" s="646" t="s">
        <v>113</v>
      </c>
      <c r="Z189" s="647"/>
      <c r="AA189" s="646" t="s">
        <v>113</v>
      </c>
      <c r="AB189" s="648"/>
    </row>
    <row r="190" spans="1:28" ht="15.75" customHeight="1" thickBot="1" x14ac:dyDescent="0.35">
      <c r="A190" s="629"/>
      <c r="B190" s="630"/>
      <c r="C190" s="649" t="s">
        <v>140</v>
      </c>
      <c r="D190" s="650" t="s">
        <v>110</v>
      </c>
      <c r="E190" s="651" t="s">
        <v>113</v>
      </c>
      <c r="F190" s="652"/>
      <c r="G190" s="653" t="s">
        <v>113</v>
      </c>
      <c r="H190" s="652"/>
      <c r="I190" s="653" t="s">
        <v>113</v>
      </c>
      <c r="J190" s="652"/>
      <c r="K190" s="653" t="s">
        <v>113</v>
      </c>
      <c r="L190" s="652"/>
      <c r="M190" s="653" t="s">
        <v>113</v>
      </c>
      <c r="N190" s="652"/>
      <c r="O190" s="653" t="s">
        <v>113</v>
      </c>
      <c r="P190" s="652"/>
      <c r="Q190" s="653" t="s">
        <v>113</v>
      </c>
      <c r="R190" s="652"/>
      <c r="S190" s="653" t="s">
        <v>113</v>
      </c>
      <c r="T190" s="652"/>
      <c r="U190" s="653" t="s">
        <v>113</v>
      </c>
      <c r="V190" s="652"/>
      <c r="W190" s="653" t="s">
        <v>113</v>
      </c>
      <c r="X190" s="652"/>
      <c r="Y190" s="653" t="s">
        <v>113</v>
      </c>
      <c r="Z190" s="652"/>
      <c r="AA190" s="653" t="s">
        <v>113</v>
      </c>
      <c r="AB190" s="654"/>
    </row>
  </sheetData>
  <mergeCells count="1261">
    <mergeCell ref="B18:D18"/>
    <mergeCell ref="A19:B20"/>
    <mergeCell ref="C19:D19"/>
    <mergeCell ref="A153:B153"/>
    <mergeCell ref="E1:K1"/>
    <mergeCell ref="D4:G4"/>
    <mergeCell ref="F5:G5"/>
    <mergeCell ref="F6:G6"/>
    <mergeCell ref="F7:G7"/>
    <mergeCell ref="F8:G8"/>
    <mergeCell ref="D10:N12"/>
    <mergeCell ref="D14:N14"/>
    <mergeCell ref="A35:AB35"/>
    <mergeCell ref="Y37:Z37"/>
    <mergeCell ref="AA37:AB37"/>
    <mergeCell ref="Y36:Z36"/>
    <mergeCell ref="AA36:AB36"/>
    <mergeCell ref="C37:C38"/>
    <mergeCell ref="D37:D38"/>
    <mergeCell ref="E37:F37"/>
    <mergeCell ref="G37:H37"/>
    <mergeCell ref="I37:J37"/>
    <mergeCell ref="K37:L37"/>
    <mergeCell ref="M37:N37"/>
    <mergeCell ref="O37:P37"/>
    <mergeCell ref="A49:B49"/>
    <mergeCell ref="Q37:R37"/>
    <mergeCell ref="S37:T37"/>
    <mergeCell ref="U37:V37"/>
    <mergeCell ref="W37:X37"/>
    <mergeCell ref="AA87:AB87"/>
    <mergeCell ref="B36:B38"/>
    <mergeCell ref="C36:D36"/>
    <mergeCell ref="E36:F36"/>
    <mergeCell ref="G36:H36"/>
    <mergeCell ref="I36:J36"/>
    <mergeCell ref="K36:L36"/>
    <mergeCell ref="M36:N36"/>
    <mergeCell ref="O36:P36"/>
    <mergeCell ref="Q36:R36"/>
    <mergeCell ref="I59:J59"/>
    <mergeCell ref="K59:L59"/>
    <mergeCell ref="M59:N59"/>
    <mergeCell ref="O59:P59"/>
    <mergeCell ref="Q59:R59"/>
    <mergeCell ref="Q61:R61"/>
    <mergeCell ref="M57:N57"/>
    <mergeCell ref="O57:P57"/>
    <mergeCell ref="Q57:R57"/>
    <mergeCell ref="S36:T36"/>
    <mergeCell ref="U36:V36"/>
    <mergeCell ref="W36:X36"/>
    <mergeCell ref="A46:B46"/>
    <mergeCell ref="A47:B47"/>
    <mergeCell ref="A48:B48"/>
    <mergeCell ref="A50:B50"/>
    <mergeCell ref="C56:D56"/>
    <mergeCell ref="S57:T57"/>
    <mergeCell ref="U57:V57"/>
    <mergeCell ref="W57:X57"/>
    <mergeCell ref="Y57:Z57"/>
    <mergeCell ref="AA57:AB57"/>
    <mergeCell ref="C58:D58"/>
    <mergeCell ref="E58:F58"/>
    <mergeCell ref="G58:H58"/>
    <mergeCell ref="I58:J58"/>
    <mergeCell ref="K58:L58"/>
    <mergeCell ref="M58:N58"/>
    <mergeCell ref="O58:P58"/>
    <mergeCell ref="Q58:R58"/>
    <mergeCell ref="S58:T58"/>
    <mergeCell ref="U58:V58"/>
    <mergeCell ref="W58:X58"/>
    <mergeCell ref="Y58:Z58"/>
    <mergeCell ref="AA58:AB58"/>
    <mergeCell ref="C57:D57"/>
    <mergeCell ref="E57:F57"/>
    <mergeCell ref="G57:H57"/>
    <mergeCell ref="I57:J57"/>
    <mergeCell ref="K57:L57"/>
    <mergeCell ref="A36:A38"/>
    <mergeCell ref="A138:AB138"/>
    <mergeCell ref="S88:T88"/>
    <mergeCell ref="U88:V88"/>
    <mergeCell ref="W88:X88"/>
    <mergeCell ref="Y88:Z88"/>
    <mergeCell ref="AA88:AB88"/>
    <mergeCell ref="A97:B97"/>
    <mergeCell ref="C109:D109"/>
    <mergeCell ref="E109:F109"/>
    <mergeCell ref="G109:H109"/>
    <mergeCell ref="I109:J109"/>
    <mergeCell ref="K109:L109"/>
    <mergeCell ref="M109:N109"/>
    <mergeCell ref="O109:P109"/>
    <mergeCell ref="Q109:R109"/>
    <mergeCell ref="S109:T109"/>
    <mergeCell ref="W109:X109"/>
    <mergeCell ref="Y109:Z109"/>
    <mergeCell ref="AA109:AB109"/>
    <mergeCell ref="C110:D110"/>
    <mergeCell ref="E110:F110"/>
    <mergeCell ref="G110:H110"/>
    <mergeCell ref="AA140:AB140"/>
    <mergeCell ref="A149:B149"/>
    <mergeCell ref="A150:B150"/>
    <mergeCell ref="A151:B151"/>
    <mergeCell ref="A152:B152"/>
    <mergeCell ref="O140:P140"/>
    <mergeCell ref="Q140:R140"/>
    <mergeCell ref="S140:T140"/>
    <mergeCell ref="U140:V140"/>
    <mergeCell ref="W140:X140"/>
    <mergeCell ref="Y140:Z140"/>
    <mergeCell ref="A139:A141"/>
    <mergeCell ref="B139:B141"/>
    <mergeCell ref="W139:X139"/>
    <mergeCell ref="Y139:Z139"/>
    <mergeCell ref="AA139:AB139"/>
    <mergeCell ref="C140:C141"/>
    <mergeCell ref="D140:D141"/>
    <mergeCell ref="E140:F140"/>
    <mergeCell ref="G140:H140"/>
    <mergeCell ref="I140:J140"/>
    <mergeCell ref="K140:L140"/>
    <mergeCell ref="M140:N140"/>
    <mergeCell ref="K139:L139"/>
    <mergeCell ref="S139:T139"/>
    <mergeCell ref="U139:V139"/>
    <mergeCell ref="E139:F139"/>
    <mergeCell ref="C139:D139"/>
    <mergeCell ref="M139:N139"/>
    <mergeCell ref="O139:P139"/>
    <mergeCell ref="G139:H139"/>
    <mergeCell ref="I139:J139"/>
    <mergeCell ref="O87:P87"/>
    <mergeCell ref="U109:V109"/>
    <mergeCell ref="S81:T81"/>
    <mergeCell ref="U79:V79"/>
    <mergeCell ref="U87:V87"/>
    <mergeCell ref="A86:AB86"/>
    <mergeCell ref="A87:A89"/>
    <mergeCell ref="B87:B89"/>
    <mergeCell ref="C87:D87"/>
    <mergeCell ref="E87:F87"/>
    <mergeCell ref="G87:H87"/>
    <mergeCell ref="I87:J87"/>
    <mergeCell ref="K87:L87"/>
    <mergeCell ref="M87:N87"/>
    <mergeCell ref="C88:C89"/>
    <mergeCell ref="D88:D89"/>
    <mergeCell ref="E88:F88"/>
    <mergeCell ref="G88:H88"/>
    <mergeCell ref="I88:J88"/>
    <mergeCell ref="K88:L88"/>
    <mergeCell ref="M88:N88"/>
    <mergeCell ref="O88:P88"/>
    <mergeCell ref="Q88:R88"/>
    <mergeCell ref="W79:X79"/>
    <mergeCell ref="Y79:Z79"/>
    <mergeCell ref="W87:X87"/>
    <mergeCell ref="Y87:Z87"/>
    <mergeCell ref="A98:B98"/>
    <mergeCell ref="A99:B99"/>
    <mergeCell ref="A100:B100"/>
    <mergeCell ref="Q81:R81"/>
    <mergeCell ref="S59:T59"/>
    <mergeCell ref="U59:V59"/>
    <mergeCell ref="W59:X59"/>
    <mergeCell ref="Y59:Z59"/>
    <mergeCell ref="AA59:AB59"/>
    <mergeCell ref="C60:D60"/>
    <mergeCell ref="E60:F60"/>
    <mergeCell ref="G60:H60"/>
    <mergeCell ref="I60:J60"/>
    <mergeCell ref="K60:L60"/>
    <mergeCell ref="M60:N60"/>
    <mergeCell ref="O60:P60"/>
    <mergeCell ref="Q60:R60"/>
    <mergeCell ref="S60:T60"/>
    <mergeCell ref="U60:V60"/>
    <mergeCell ref="W60:X60"/>
    <mergeCell ref="Y60:Z60"/>
    <mergeCell ref="AA60:AB60"/>
    <mergeCell ref="C59:D59"/>
    <mergeCell ref="E59:F59"/>
    <mergeCell ref="G59:H59"/>
    <mergeCell ref="W61:X61"/>
    <mergeCell ref="Y61:Z61"/>
    <mergeCell ref="AA61:AB61"/>
    <mergeCell ref="C62:D62"/>
    <mergeCell ref="E62:F62"/>
    <mergeCell ref="G62:H62"/>
    <mergeCell ref="I62:J62"/>
    <mergeCell ref="K62:L62"/>
    <mergeCell ref="M62:N62"/>
    <mergeCell ref="O62:P62"/>
    <mergeCell ref="Q62:R62"/>
    <mergeCell ref="S62:T62"/>
    <mergeCell ref="U62:V62"/>
    <mergeCell ref="W62:X62"/>
    <mergeCell ref="Y62:Z62"/>
    <mergeCell ref="AA62:AB62"/>
    <mergeCell ref="C61:D61"/>
    <mergeCell ref="E61:F61"/>
    <mergeCell ref="G61:H61"/>
    <mergeCell ref="I61:J61"/>
    <mergeCell ref="K61:L61"/>
    <mergeCell ref="M61:N61"/>
    <mergeCell ref="O61:P61"/>
    <mergeCell ref="S61:T61"/>
    <mergeCell ref="U61:V61"/>
    <mergeCell ref="W63:X63"/>
    <mergeCell ref="Y63:Z63"/>
    <mergeCell ref="AA63:AB63"/>
    <mergeCell ref="C64:D64"/>
    <mergeCell ref="E64:F64"/>
    <mergeCell ref="G64:H64"/>
    <mergeCell ref="I64:J64"/>
    <mergeCell ref="K64:L64"/>
    <mergeCell ref="M64:N64"/>
    <mergeCell ref="O64:P64"/>
    <mergeCell ref="Q64:R64"/>
    <mergeCell ref="S64:T64"/>
    <mergeCell ref="U64:V64"/>
    <mergeCell ref="W64:X64"/>
    <mergeCell ref="Y64:Z64"/>
    <mergeCell ref="AA64:AB64"/>
    <mergeCell ref="C63:D63"/>
    <mergeCell ref="E63:F63"/>
    <mergeCell ref="G63:H63"/>
    <mergeCell ref="I63:J63"/>
    <mergeCell ref="K63:L63"/>
    <mergeCell ref="M63:N63"/>
    <mergeCell ref="O63:P63"/>
    <mergeCell ref="Q63:R63"/>
    <mergeCell ref="S63:T63"/>
    <mergeCell ref="U63:V63"/>
    <mergeCell ref="W65:X65"/>
    <mergeCell ref="Y65:Z65"/>
    <mergeCell ref="AA65:AB65"/>
    <mergeCell ref="C66:D66"/>
    <mergeCell ref="E66:F66"/>
    <mergeCell ref="G66:H66"/>
    <mergeCell ref="I66:J66"/>
    <mergeCell ref="K66:L66"/>
    <mergeCell ref="M66:N66"/>
    <mergeCell ref="O66:P66"/>
    <mergeCell ref="Q66:R66"/>
    <mergeCell ref="S66:T66"/>
    <mergeCell ref="U66:V66"/>
    <mergeCell ref="W66:X66"/>
    <mergeCell ref="Y66:Z66"/>
    <mergeCell ref="AA66:AB66"/>
    <mergeCell ref="C65:D65"/>
    <mergeCell ref="E65:F65"/>
    <mergeCell ref="G65:H65"/>
    <mergeCell ref="I65:J65"/>
    <mergeCell ref="K65:L65"/>
    <mergeCell ref="M65:N65"/>
    <mergeCell ref="O65:P65"/>
    <mergeCell ref="Q65:R65"/>
    <mergeCell ref="S65:T65"/>
    <mergeCell ref="U65:V65"/>
    <mergeCell ref="W67:X67"/>
    <mergeCell ref="Y67:Z67"/>
    <mergeCell ref="AA67:AB67"/>
    <mergeCell ref="C68:D68"/>
    <mergeCell ref="E68:F68"/>
    <mergeCell ref="G68:H68"/>
    <mergeCell ref="I68:J68"/>
    <mergeCell ref="K68:L68"/>
    <mergeCell ref="M68:N68"/>
    <mergeCell ref="O68:P68"/>
    <mergeCell ref="Q68:R68"/>
    <mergeCell ref="S68:T68"/>
    <mergeCell ref="U68:V68"/>
    <mergeCell ref="W68:X68"/>
    <mergeCell ref="Y68:Z68"/>
    <mergeCell ref="AA68:AB68"/>
    <mergeCell ref="C67:D67"/>
    <mergeCell ref="E67:F67"/>
    <mergeCell ref="G67:H67"/>
    <mergeCell ref="I67:J67"/>
    <mergeCell ref="K67:L67"/>
    <mergeCell ref="M67:N67"/>
    <mergeCell ref="O67:P67"/>
    <mergeCell ref="Q67:R67"/>
    <mergeCell ref="S67:T67"/>
    <mergeCell ref="U67:V67"/>
    <mergeCell ref="W69:X69"/>
    <mergeCell ref="Y69:Z69"/>
    <mergeCell ref="AA69:AB69"/>
    <mergeCell ref="C70:D70"/>
    <mergeCell ref="E70:F70"/>
    <mergeCell ref="G70:H70"/>
    <mergeCell ref="I70:J70"/>
    <mergeCell ref="K70:L70"/>
    <mergeCell ref="M70:N70"/>
    <mergeCell ref="O70:P70"/>
    <mergeCell ref="Q70:R70"/>
    <mergeCell ref="S70:T70"/>
    <mergeCell ref="U70:V70"/>
    <mergeCell ref="W70:X70"/>
    <mergeCell ref="Y70:Z70"/>
    <mergeCell ref="AA70:AB70"/>
    <mergeCell ref="C69:D69"/>
    <mergeCell ref="E69:F69"/>
    <mergeCell ref="G69:H69"/>
    <mergeCell ref="I69:J69"/>
    <mergeCell ref="K69:L69"/>
    <mergeCell ref="M69:N69"/>
    <mergeCell ref="O69:P69"/>
    <mergeCell ref="Q69:R69"/>
    <mergeCell ref="S69:T69"/>
    <mergeCell ref="U69:V69"/>
    <mergeCell ref="W71:X71"/>
    <mergeCell ref="Y71:Z71"/>
    <mergeCell ref="AA71:AB71"/>
    <mergeCell ref="C72:D72"/>
    <mergeCell ref="E72:F72"/>
    <mergeCell ref="G72:H72"/>
    <mergeCell ref="I72:J72"/>
    <mergeCell ref="K72:L72"/>
    <mergeCell ref="M72:N72"/>
    <mergeCell ref="O72:P72"/>
    <mergeCell ref="Q72:R72"/>
    <mergeCell ref="S72:T72"/>
    <mergeCell ref="U72:V72"/>
    <mergeCell ref="W72:X72"/>
    <mergeCell ref="Y72:Z72"/>
    <mergeCell ref="AA72:AB72"/>
    <mergeCell ref="C71:D71"/>
    <mergeCell ref="E71:F71"/>
    <mergeCell ref="G71:H71"/>
    <mergeCell ref="I71:J71"/>
    <mergeCell ref="K71:L71"/>
    <mergeCell ref="M71:N71"/>
    <mergeCell ref="O71:P71"/>
    <mergeCell ref="Q71:R71"/>
    <mergeCell ref="S71:T71"/>
    <mergeCell ref="U71:V71"/>
    <mergeCell ref="W73:X73"/>
    <mergeCell ref="Y73:Z73"/>
    <mergeCell ref="AA73:AB73"/>
    <mergeCell ref="C74:D74"/>
    <mergeCell ref="E74:F74"/>
    <mergeCell ref="G74:H74"/>
    <mergeCell ref="I74:J74"/>
    <mergeCell ref="K74:L74"/>
    <mergeCell ref="M74:N74"/>
    <mergeCell ref="O74:P74"/>
    <mergeCell ref="Q74:R74"/>
    <mergeCell ref="S74:T74"/>
    <mergeCell ref="U74:V74"/>
    <mergeCell ref="W74:X74"/>
    <mergeCell ref="Y74:Z74"/>
    <mergeCell ref="AA74:AB74"/>
    <mergeCell ref="C73:D73"/>
    <mergeCell ref="E73:F73"/>
    <mergeCell ref="G73:H73"/>
    <mergeCell ref="I73:J73"/>
    <mergeCell ref="K73:L73"/>
    <mergeCell ref="M73:N73"/>
    <mergeCell ref="O73:P73"/>
    <mergeCell ref="Q73:R73"/>
    <mergeCell ref="S73:T73"/>
    <mergeCell ref="U73:V73"/>
    <mergeCell ref="W75:X75"/>
    <mergeCell ref="Y75:Z75"/>
    <mergeCell ref="AA75:AB75"/>
    <mergeCell ref="C76:D76"/>
    <mergeCell ref="E76:F76"/>
    <mergeCell ref="G76:H76"/>
    <mergeCell ref="I76:J76"/>
    <mergeCell ref="K76:L76"/>
    <mergeCell ref="M76:N76"/>
    <mergeCell ref="O76:P76"/>
    <mergeCell ref="Q76:R76"/>
    <mergeCell ref="S76:T76"/>
    <mergeCell ref="U76:V76"/>
    <mergeCell ref="W76:X76"/>
    <mergeCell ref="Y76:Z76"/>
    <mergeCell ref="AA76:AB76"/>
    <mergeCell ref="C75:D75"/>
    <mergeCell ref="E75:F75"/>
    <mergeCell ref="G75:H75"/>
    <mergeCell ref="I75:J75"/>
    <mergeCell ref="K75:L75"/>
    <mergeCell ref="M75:N75"/>
    <mergeCell ref="O75:P75"/>
    <mergeCell ref="Q75:R75"/>
    <mergeCell ref="S75:T75"/>
    <mergeCell ref="U75:V75"/>
    <mergeCell ref="W77:X77"/>
    <mergeCell ref="Y77:Z77"/>
    <mergeCell ref="AA77:AB77"/>
    <mergeCell ref="C78:D78"/>
    <mergeCell ref="E78:F78"/>
    <mergeCell ref="G78:H78"/>
    <mergeCell ref="I78:J78"/>
    <mergeCell ref="K78:L78"/>
    <mergeCell ref="M78:N78"/>
    <mergeCell ref="O78:P78"/>
    <mergeCell ref="Q78:R78"/>
    <mergeCell ref="S78:T78"/>
    <mergeCell ref="U78:V78"/>
    <mergeCell ref="W78:X78"/>
    <mergeCell ref="Y78:Z78"/>
    <mergeCell ref="AA78:AB78"/>
    <mergeCell ref="C77:D77"/>
    <mergeCell ref="E77:F77"/>
    <mergeCell ref="G77:H77"/>
    <mergeCell ref="I77:J77"/>
    <mergeCell ref="K77:L77"/>
    <mergeCell ref="M77:N77"/>
    <mergeCell ref="O77:P77"/>
    <mergeCell ref="Q77:R77"/>
    <mergeCell ref="S77:T77"/>
    <mergeCell ref="U77:V77"/>
    <mergeCell ref="E80:F80"/>
    <mergeCell ref="G80:H80"/>
    <mergeCell ref="I80:J80"/>
    <mergeCell ref="K80:L80"/>
    <mergeCell ref="M80:N80"/>
    <mergeCell ref="O80:P80"/>
    <mergeCell ref="Q80:R80"/>
    <mergeCell ref="S80:T80"/>
    <mergeCell ref="U80:V80"/>
    <mergeCell ref="W80:X80"/>
    <mergeCell ref="Y80:Z80"/>
    <mergeCell ref="AA80:AB80"/>
    <mergeCell ref="C79:D79"/>
    <mergeCell ref="E79:F79"/>
    <mergeCell ref="G79:H79"/>
    <mergeCell ref="I79:J79"/>
    <mergeCell ref="K79:L79"/>
    <mergeCell ref="M79:N79"/>
    <mergeCell ref="O79:P79"/>
    <mergeCell ref="Q79:R79"/>
    <mergeCell ref="S79:T79"/>
    <mergeCell ref="O83:P83"/>
    <mergeCell ref="Q83:R83"/>
    <mergeCell ref="A54:AB54"/>
    <mergeCell ref="B55:AB55"/>
    <mergeCell ref="A56:B57"/>
    <mergeCell ref="E56:AB56"/>
    <mergeCell ref="U81:V81"/>
    <mergeCell ref="W81:X81"/>
    <mergeCell ref="Y81:Z81"/>
    <mergeCell ref="AA81:AB81"/>
    <mergeCell ref="C82:D82"/>
    <mergeCell ref="E82:F82"/>
    <mergeCell ref="G82:H82"/>
    <mergeCell ref="I82:J82"/>
    <mergeCell ref="K82:L82"/>
    <mergeCell ref="M82:N82"/>
    <mergeCell ref="O82:P82"/>
    <mergeCell ref="Q82:R82"/>
    <mergeCell ref="S82:T82"/>
    <mergeCell ref="U82:V82"/>
    <mergeCell ref="W82:X82"/>
    <mergeCell ref="Y82:Z82"/>
    <mergeCell ref="AA82:AB82"/>
    <mergeCell ref="C81:D81"/>
    <mergeCell ref="E81:F81"/>
    <mergeCell ref="G81:H81"/>
    <mergeCell ref="I81:J81"/>
    <mergeCell ref="K81:L81"/>
    <mergeCell ref="M81:N81"/>
    <mergeCell ref="O81:P81"/>
    <mergeCell ref="AA79:AB79"/>
    <mergeCell ref="C80:D80"/>
    <mergeCell ref="S83:T83"/>
    <mergeCell ref="U83:V83"/>
    <mergeCell ref="W83:X83"/>
    <mergeCell ref="Y83:Z83"/>
    <mergeCell ref="AA83:AB83"/>
    <mergeCell ref="A105:AB105"/>
    <mergeCell ref="B106:AB106"/>
    <mergeCell ref="A107:B108"/>
    <mergeCell ref="C107:D107"/>
    <mergeCell ref="E107:AB107"/>
    <mergeCell ref="C108:D108"/>
    <mergeCell ref="E108:F108"/>
    <mergeCell ref="G108:H108"/>
    <mergeCell ref="I108:J108"/>
    <mergeCell ref="K108:L108"/>
    <mergeCell ref="M108:N108"/>
    <mergeCell ref="O108:P108"/>
    <mergeCell ref="Q108:R108"/>
    <mergeCell ref="S108:T108"/>
    <mergeCell ref="U108:V108"/>
    <mergeCell ref="W108:X108"/>
    <mergeCell ref="Y108:Z108"/>
    <mergeCell ref="AA108:AB108"/>
    <mergeCell ref="A101:B101"/>
    <mergeCell ref="Q87:R87"/>
    <mergeCell ref="S87:T87"/>
    <mergeCell ref="C83:D83"/>
    <mergeCell ref="E83:F83"/>
    <mergeCell ref="G83:H83"/>
    <mergeCell ref="I83:J83"/>
    <mergeCell ref="K83:L83"/>
    <mergeCell ref="M83:N83"/>
    <mergeCell ref="I110:J110"/>
    <mergeCell ref="K110:L110"/>
    <mergeCell ref="M110:N110"/>
    <mergeCell ref="O110:P110"/>
    <mergeCell ref="Q110:R110"/>
    <mergeCell ref="S110:T110"/>
    <mergeCell ref="U110:V110"/>
    <mergeCell ref="W110:X110"/>
    <mergeCell ref="Y110:Z110"/>
    <mergeCell ref="AA110:AB110"/>
    <mergeCell ref="U111:V111"/>
    <mergeCell ref="W111:X111"/>
    <mergeCell ref="Y111:Z111"/>
    <mergeCell ref="AA111:AB111"/>
    <mergeCell ref="C112:D112"/>
    <mergeCell ref="E112:F112"/>
    <mergeCell ref="G112:H112"/>
    <mergeCell ref="I112:J112"/>
    <mergeCell ref="K112:L112"/>
    <mergeCell ref="M112:N112"/>
    <mergeCell ref="O112:P112"/>
    <mergeCell ref="Q112:R112"/>
    <mergeCell ref="S112:T112"/>
    <mergeCell ref="U112:V112"/>
    <mergeCell ref="W112:X112"/>
    <mergeCell ref="Y112:Z112"/>
    <mergeCell ref="AA112:AB112"/>
    <mergeCell ref="C111:D111"/>
    <mergeCell ref="E111:F111"/>
    <mergeCell ref="G111:H111"/>
    <mergeCell ref="I111:J111"/>
    <mergeCell ref="K111:L111"/>
    <mergeCell ref="M111:N111"/>
    <mergeCell ref="O111:P111"/>
    <mergeCell ref="Q111:R111"/>
    <mergeCell ref="S111:T111"/>
    <mergeCell ref="U113:V113"/>
    <mergeCell ref="W113:X113"/>
    <mergeCell ref="Y113:Z113"/>
    <mergeCell ref="AA113:AB113"/>
    <mergeCell ref="C114:D114"/>
    <mergeCell ref="E114:F114"/>
    <mergeCell ref="G114:H114"/>
    <mergeCell ref="I114:J114"/>
    <mergeCell ref="K114:L114"/>
    <mergeCell ref="M114:N114"/>
    <mergeCell ref="O114:P114"/>
    <mergeCell ref="Q114:R114"/>
    <mergeCell ref="S114:T114"/>
    <mergeCell ref="U114:V114"/>
    <mergeCell ref="W114:X114"/>
    <mergeCell ref="Y114:Z114"/>
    <mergeCell ref="AA114:AB114"/>
    <mergeCell ref="C113:D113"/>
    <mergeCell ref="E113:F113"/>
    <mergeCell ref="G113:H113"/>
    <mergeCell ref="I113:J113"/>
    <mergeCell ref="K113:L113"/>
    <mergeCell ref="M113:N113"/>
    <mergeCell ref="O113:P113"/>
    <mergeCell ref="Q113:R113"/>
    <mergeCell ref="S113:T113"/>
    <mergeCell ref="U115:V115"/>
    <mergeCell ref="W115:X115"/>
    <mergeCell ref="Y115:Z115"/>
    <mergeCell ref="AA115:AB115"/>
    <mergeCell ref="C116:D116"/>
    <mergeCell ref="E116:F116"/>
    <mergeCell ref="G116:H116"/>
    <mergeCell ref="I116:J116"/>
    <mergeCell ref="K116:L116"/>
    <mergeCell ref="M116:N116"/>
    <mergeCell ref="O116:P116"/>
    <mergeCell ref="Q116:R116"/>
    <mergeCell ref="S116:T116"/>
    <mergeCell ref="U116:V116"/>
    <mergeCell ref="W116:X116"/>
    <mergeCell ref="Y116:Z116"/>
    <mergeCell ref="AA116:AB116"/>
    <mergeCell ref="C115:D115"/>
    <mergeCell ref="E115:F115"/>
    <mergeCell ref="G115:H115"/>
    <mergeCell ref="I115:J115"/>
    <mergeCell ref="K115:L115"/>
    <mergeCell ref="M115:N115"/>
    <mergeCell ref="O115:P115"/>
    <mergeCell ref="Q115:R115"/>
    <mergeCell ref="S115:T115"/>
    <mergeCell ref="U117:V117"/>
    <mergeCell ref="W117:X117"/>
    <mergeCell ref="Y117:Z117"/>
    <mergeCell ref="AA117:AB117"/>
    <mergeCell ref="C118:D118"/>
    <mergeCell ref="E118:F118"/>
    <mergeCell ref="G118:H118"/>
    <mergeCell ref="I118:J118"/>
    <mergeCell ref="K118:L118"/>
    <mergeCell ref="M118:N118"/>
    <mergeCell ref="O118:P118"/>
    <mergeCell ref="Q118:R118"/>
    <mergeCell ref="S118:T118"/>
    <mergeCell ref="U118:V118"/>
    <mergeCell ref="W118:X118"/>
    <mergeCell ref="Y118:Z118"/>
    <mergeCell ref="AA118:AB118"/>
    <mergeCell ref="C117:D117"/>
    <mergeCell ref="E117:F117"/>
    <mergeCell ref="G117:H117"/>
    <mergeCell ref="I117:J117"/>
    <mergeCell ref="K117:L117"/>
    <mergeCell ref="M117:N117"/>
    <mergeCell ref="O117:P117"/>
    <mergeCell ref="Q117:R117"/>
    <mergeCell ref="S117:T117"/>
    <mergeCell ref="U119:V119"/>
    <mergeCell ref="W119:X119"/>
    <mergeCell ref="Y119:Z119"/>
    <mergeCell ref="AA119:AB119"/>
    <mergeCell ref="C120:D120"/>
    <mergeCell ref="E120:F120"/>
    <mergeCell ref="G120:H120"/>
    <mergeCell ref="I120:J120"/>
    <mergeCell ref="K120:L120"/>
    <mergeCell ref="M120:N120"/>
    <mergeCell ref="O120:P120"/>
    <mergeCell ref="Q120:R120"/>
    <mergeCell ref="S120:T120"/>
    <mergeCell ref="U120:V120"/>
    <mergeCell ref="W120:X120"/>
    <mergeCell ref="Y120:Z120"/>
    <mergeCell ref="AA120:AB120"/>
    <mergeCell ref="C119:D119"/>
    <mergeCell ref="E119:F119"/>
    <mergeCell ref="G119:H119"/>
    <mergeCell ref="I119:J119"/>
    <mergeCell ref="K119:L119"/>
    <mergeCell ref="M119:N119"/>
    <mergeCell ref="O119:P119"/>
    <mergeCell ref="Q119:R119"/>
    <mergeCell ref="S119:T119"/>
    <mergeCell ref="U121:V121"/>
    <mergeCell ref="W121:X121"/>
    <mergeCell ref="Y121:Z121"/>
    <mergeCell ref="AA121:AB121"/>
    <mergeCell ref="C122:D122"/>
    <mergeCell ref="E122:F122"/>
    <mergeCell ref="G122:H122"/>
    <mergeCell ref="I122:J122"/>
    <mergeCell ref="K122:L122"/>
    <mergeCell ref="M122:N122"/>
    <mergeCell ref="O122:P122"/>
    <mergeCell ref="Q122:R122"/>
    <mergeCell ref="S122:T122"/>
    <mergeCell ref="U122:V122"/>
    <mergeCell ref="W122:X122"/>
    <mergeCell ref="Y122:Z122"/>
    <mergeCell ref="AA122:AB122"/>
    <mergeCell ref="C121:D121"/>
    <mergeCell ref="E121:F121"/>
    <mergeCell ref="G121:H121"/>
    <mergeCell ref="I121:J121"/>
    <mergeCell ref="K121:L121"/>
    <mergeCell ref="M121:N121"/>
    <mergeCell ref="O121:P121"/>
    <mergeCell ref="Q121:R121"/>
    <mergeCell ref="S121:T121"/>
    <mergeCell ref="S125:T125"/>
    <mergeCell ref="U123:V123"/>
    <mergeCell ref="W123:X123"/>
    <mergeCell ref="Y123:Z123"/>
    <mergeCell ref="AA123:AB123"/>
    <mergeCell ref="C124:D124"/>
    <mergeCell ref="E124:F124"/>
    <mergeCell ref="G124:H124"/>
    <mergeCell ref="I124:J124"/>
    <mergeCell ref="K124:L124"/>
    <mergeCell ref="M124:N124"/>
    <mergeCell ref="O124:P124"/>
    <mergeCell ref="Q124:R124"/>
    <mergeCell ref="S124:T124"/>
    <mergeCell ref="U124:V124"/>
    <mergeCell ref="W124:X124"/>
    <mergeCell ref="Y124:Z124"/>
    <mergeCell ref="AA124:AB124"/>
    <mergeCell ref="C123:D123"/>
    <mergeCell ref="E123:F123"/>
    <mergeCell ref="G123:H123"/>
    <mergeCell ref="I123:J123"/>
    <mergeCell ref="K123:L123"/>
    <mergeCell ref="M123:N123"/>
    <mergeCell ref="O123:P123"/>
    <mergeCell ref="Q123:R123"/>
    <mergeCell ref="S123:T123"/>
    <mergeCell ref="E135:F135"/>
    <mergeCell ref="G135:H135"/>
    <mergeCell ref="I135:J135"/>
    <mergeCell ref="K135:L135"/>
    <mergeCell ref="M135:N135"/>
    <mergeCell ref="O135:P135"/>
    <mergeCell ref="Q135:R135"/>
    <mergeCell ref="U125:V125"/>
    <mergeCell ref="W125:X125"/>
    <mergeCell ref="Y125:Z125"/>
    <mergeCell ref="AA125:AB125"/>
    <mergeCell ref="C126:D126"/>
    <mergeCell ref="E126:F126"/>
    <mergeCell ref="G126:H126"/>
    <mergeCell ref="I126:J126"/>
    <mergeCell ref="K126:L126"/>
    <mergeCell ref="M126:N126"/>
    <mergeCell ref="O126:P126"/>
    <mergeCell ref="Q126:R126"/>
    <mergeCell ref="S126:T126"/>
    <mergeCell ref="U126:V126"/>
    <mergeCell ref="W126:X126"/>
    <mergeCell ref="Y126:Z126"/>
    <mergeCell ref="AA126:AB126"/>
    <mergeCell ref="C125:D125"/>
    <mergeCell ref="E125:F125"/>
    <mergeCell ref="G125:H125"/>
    <mergeCell ref="I125:J125"/>
    <mergeCell ref="K125:L125"/>
    <mergeCell ref="M125:N125"/>
    <mergeCell ref="O125:P125"/>
    <mergeCell ref="Q125:R125"/>
    <mergeCell ref="S127:T127"/>
    <mergeCell ref="U127:V127"/>
    <mergeCell ref="W127:X127"/>
    <mergeCell ref="Y127:Z127"/>
    <mergeCell ref="AA127:AB127"/>
    <mergeCell ref="C128:D128"/>
    <mergeCell ref="E128:F128"/>
    <mergeCell ref="G128:H128"/>
    <mergeCell ref="I128:J128"/>
    <mergeCell ref="K128:L128"/>
    <mergeCell ref="M128:N128"/>
    <mergeCell ref="O128:P128"/>
    <mergeCell ref="Q128:R128"/>
    <mergeCell ref="S128:T128"/>
    <mergeCell ref="U128:V128"/>
    <mergeCell ref="W128:X128"/>
    <mergeCell ref="Y128:Z128"/>
    <mergeCell ref="AA128:AB128"/>
    <mergeCell ref="C127:D127"/>
    <mergeCell ref="E127:F127"/>
    <mergeCell ref="G127:H127"/>
    <mergeCell ref="I127:J127"/>
    <mergeCell ref="K127:L127"/>
    <mergeCell ref="M127:N127"/>
    <mergeCell ref="O127:P127"/>
    <mergeCell ref="Q127:R127"/>
    <mergeCell ref="S129:T129"/>
    <mergeCell ref="U129:V129"/>
    <mergeCell ref="W129:X129"/>
    <mergeCell ref="Y129:Z129"/>
    <mergeCell ref="AA129:AB129"/>
    <mergeCell ref="C130:D130"/>
    <mergeCell ref="E130:F130"/>
    <mergeCell ref="G130:H130"/>
    <mergeCell ref="I130:J130"/>
    <mergeCell ref="K130:L130"/>
    <mergeCell ref="M130:N130"/>
    <mergeCell ref="O130:P130"/>
    <mergeCell ref="Q130:R130"/>
    <mergeCell ref="S130:T130"/>
    <mergeCell ref="U130:V130"/>
    <mergeCell ref="W130:X130"/>
    <mergeCell ref="Y130:Z130"/>
    <mergeCell ref="AA130:AB130"/>
    <mergeCell ref="C129:D129"/>
    <mergeCell ref="E129:F129"/>
    <mergeCell ref="G129:H129"/>
    <mergeCell ref="I129:J129"/>
    <mergeCell ref="K129:L129"/>
    <mergeCell ref="M129:N129"/>
    <mergeCell ref="O129:P129"/>
    <mergeCell ref="Q129:R129"/>
    <mergeCell ref="S131:T131"/>
    <mergeCell ref="U131:V131"/>
    <mergeCell ref="W131:X131"/>
    <mergeCell ref="Y131:Z131"/>
    <mergeCell ref="AA131:AB131"/>
    <mergeCell ref="C132:D132"/>
    <mergeCell ref="E132:F132"/>
    <mergeCell ref="G132:H132"/>
    <mergeCell ref="I132:J132"/>
    <mergeCell ref="K132:L132"/>
    <mergeCell ref="M132:N132"/>
    <mergeCell ref="O132:P132"/>
    <mergeCell ref="Q132:R132"/>
    <mergeCell ref="S132:T132"/>
    <mergeCell ref="U132:V132"/>
    <mergeCell ref="W132:X132"/>
    <mergeCell ref="Y132:Z132"/>
    <mergeCell ref="AA132:AB132"/>
    <mergeCell ref="C131:D131"/>
    <mergeCell ref="E131:F131"/>
    <mergeCell ref="G131:H131"/>
    <mergeCell ref="I131:J131"/>
    <mergeCell ref="K131:L131"/>
    <mergeCell ref="M131:N131"/>
    <mergeCell ref="O131:P131"/>
    <mergeCell ref="Q131:R131"/>
    <mergeCell ref="S135:T135"/>
    <mergeCell ref="U133:V133"/>
    <mergeCell ref="W133:X133"/>
    <mergeCell ref="Y133:Z133"/>
    <mergeCell ref="AA133:AB133"/>
    <mergeCell ref="C134:D134"/>
    <mergeCell ref="E134:F134"/>
    <mergeCell ref="G134:H134"/>
    <mergeCell ref="I134:J134"/>
    <mergeCell ref="K134:L134"/>
    <mergeCell ref="M134:N134"/>
    <mergeCell ref="O134:P134"/>
    <mergeCell ref="Q134:R134"/>
    <mergeCell ref="S134:T134"/>
    <mergeCell ref="U134:V134"/>
    <mergeCell ref="W134:X134"/>
    <mergeCell ref="Y134:Z134"/>
    <mergeCell ref="AA134:AB134"/>
    <mergeCell ref="C133:D133"/>
    <mergeCell ref="E133:F133"/>
    <mergeCell ref="G133:H133"/>
    <mergeCell ref="I133:J133"/>
    <mergeCell ref="K133:L133"/>
    <mergeCell ref="M133:N133"/>
    <mergeCell ref="O133:P133"/>
    <mergeCell ref="Q133:R133"/>
    <mergeCell ref="S133:T133"/>
    <mergeCell ref="U135:V135"/>
    <mergeCell ref="W135:X135"/>
    <mergeCell ref="Y135:Z135"/>
    <mergeCell ref="AA135:AB135"/>
    <mergeCell ref="C135:D135"/>
    <mergeCell ref="K181:L181"/>
    <mergeCell ref="M181:N181"/>
    <mergeCell ref="O181:P181"/>
    <mergeCell ref="A157:AB157"/>
    <mergeCell ref="B158:AB158"/>
    <mergeCell ref="A159:B160"/>
    <mergeCell ref="C159:D159"/>
    <mergeCell ref="E159:AB159"/>
    <mergeCell ref="C160:D160"/>
    <mergeCell ref="E160:F160"/>
    <mergeCell ref="G160:H160"/>
    <mergeCell ref="I160:J160"/>
    <mergeCell ref="K160:L160"/>
    <mergeCell ref="M160:N160"/>
    <mergeCell ref="O160:P160"/>
    <mergeCell ref="Q160:R160"/>
    <mergeCell ref="S160:T160"/>
    <mergeCell ref="U160:V160"/>
    <mergeCell ref="W160:X160"/>
    <mergeCell ref="Y160:Z160"/>
    <mergeCell ref="AA160:AB160"/>
    <mergeCell ref="C161:D161"/>
    <mergeCell ref="E161:F161"/>
    <mergeCell ref="G161:H161"/>
    <mergeCell ref="I161:J161"/>
    <mergeCell ref="K161:L161"/>
    <mergeCell ref="M161:N161"/>
    <mergeCell ref="O161:P161"/>
    <mergeCell ref="Q161:R161"/>
    <mergeCell ref="C163:D163"/>
    <mergeCell ref="E163:F163"/>
    <mergeCell ref="G163:H163"/>
    <mergeCell ref="I163:J163"/>
    <mergeCell ref="K163:L163"/>
    <mergeCell ref="M163:N163"/>
    <mergeCell ref="O163:P163"/>
    <mergeCell ref="Q163:R163"/>
    <mergeCell ref="C165:D165"/>
    <mergeCell ref="E165:F165"/>
    <mergeCell ref="G165:H165"/>
    <mergeCell ref="I165:J165"/>
    <mergeCell ref="K165:L165"/>
    <mergeCell ref="M165:N165"/>
    <mergeCell ref="O165:P165"/>
    <mergeCell ref="K164:L164"/>
    <mergeCell ref="M164:N164"/>
    <mergeCell ref="O164:P164"/>
    <mergeCell ref="Q164:R164"/>
    <mergeCell ref="Q139:R139"/>
    <mergeCell ref="Q165:R165"/>
    <mergeCell ref="C181:D181"/>
    <mergeCell ref="E181:F181"/>
    <mergeCell ref="G181:H181"/>
    <mergeCell ref="S161:T161"/>
    <mergeCell ref="U161:V161"/>
    <mergeCell ref="W161:X161"/>
    <mergeCell ref="Y161:Z161"/>
    <mergeCell ref="AA161:AB161"/>
    <mergeCell ref="C162:D162"/>
    <mergeCell ref="E162:F162"/>
    <mergeCell ref="G162:H162"/>
    <mergeCell ref="I162:J162"/>
    <mergeCell ref="K162:L162"/>
    <mergeCell ref="M162:N162"/>
    <mergeCell ref="O162:P162"/>
    <mergeCell ref="Q162:R162"/>
    <mergeCell ref="S162:T162"/>
    <mergeCell ref="U162:V162"/>
    <mergeCell ref="W162:X162"/>
    <mergeCell ref="Y162:Z162"/>
    <mergeCell ref="AA162:AB162"/>
    <mergeCell ref="S163:T163"/>
    <mergeCell ref="U163:V163"/>
    <mergeCell ref="W163:X163"/>
    <mergeCell ref="Y163:Z163"/>
    <mergeCell ref="AA163:AB163"/>
    <mergeCell ref="C164:D164"/>
    <mergeCell ref="E164:F164"/>
    <mergeCell ref="G164:H164"/>
    <mergeCell ref="I164:J164"/>
    <mergeCell ref="S164:T164"/>
    <mergeCell ref="U164:V164"/>
    <mergeCell ref="W164:X164"/>
    <mergeCell ref="Y164:Z164"/>
    <mergeCell ref="AA164:AB164"/>
    <mergeCell ref="S165:T165"/>
    <mergeCell ref="U165:V165"/>
    <mergeCell ref="W165:X165"/>
    <mergeCell ref="Y165:Z165"/>
    <mergeCell ref="AA165:AB165"/>
    <mergeCell ref="C166:D166"/>
    <mergeCell ref="E166:F166"/>
    <mergeCell ref="G166:H166"/>
    <mergeCell ref="I166:J166"/>
    <mergeCell ref="K166:L166"/>
    <mergeCell ref="M166:N166"/>
    <mergeCell ref="O166:P166"/>
    <mergeCell ref="Q166:R166"/>
    <mergeCell ref="S166:T166"/>
    <mergeCell ref="U166:V166"/>
    <mergeCell ref="W166:X166"/>
    <mergeCell ref="Y166:Z166"/>
    <mergeCell ref="AA166:AB166"/>
    <mergeCell ref="U167:V167"/>
    <mergeCell ref="W167:X167"/>
    <mergeCell ref="Y167:Z167"/>
    <mergeCell ref="AA167:AB167"/>
    <mergeCell ref="C168:D168"/>
    <mergeCell ref="E168:F168"/>
    <mergeCell ref="G168:H168"/>
    <mergeCell ref="I168:J168"/>
    <mergeCell ref="K168:L168"/>
    <mergeCell ref="M168:N168"/>
    <mergeCell ref="O168:P168"/>
    <mergeCell ref="Q168:R168"/>
    <mergeCell ref="S168:T168"/>
    <mergeCell ref="U168:V168"/>
    <mergeCell ref="W168:X168"/>
    <mergeCell ref="Y168:Z168"/>
    <mergeCell ref="AA168:AB168"/>
    <mergeCell ref="C167:D167"/>
    <mergeCell ref="E167:F167"/>
    <mergeCell ref="G167:H167"/>
    <mergeCell ref="I167:J167"/>
    <mergeCell ref="K167:L167"/>
    <mergeCell ref="M167:N167"/>
    <mergeCell ref="O167:P167"/>
    <mergeCell ref="Q167:R167"/>
    <mergeCell ref="S167:T167"/>
    <mergeCell ref="U169:V169"/>
    <mergeCell ref="W169:X169"/>
    <mergeCell ref="Y169:Z169"/>
    <mergeCell ref="AA169:AB169"/>
    <mergeCell ref="C170:D170"/>
    <mergeCell ref="E170:F170"/>
    <mergeCell ref="G170:H170"/>
    <mergeCell ref="I170:J170"/>
    <mergeCell ref="K170:L170"/>
    <mergeCell ref="M170:N170"/>
    <mergeCell ref="O170:P170"/>
    <mergeCell ref="Q170:R170"/>
    <mergeCell ref="S170:T170"/>
    <mergeCell ref="U170:V170"/>
    <mergeCell ref="W170:X170"/>
    <mergeCell ref="Y170:Z170"/>
    <mergeCell ref="AA170:AB170"/>
    <mergeCell ref="C169:D169"/>
    <mergeCell ref="E169:F169"/>
    <mergeCell ref="G169:H169"/>
    <mergeCell ref="I169:J169"/>
    <mergeCell ref="K169:L169"/>
    <mergeCell ref="M169:N169"/>
    <mergeCell ref="O169:P169"/>
    <mergeCell ref="Q169:R169"/>
    <mergeCell ref="S169:T169"/>
    <mergeCell ref="U171:V171"/>
    <mergeCell ref="W171:X171"/>
    <mergeCell ref="Y171:Z171"/>
    <mergeCell ref="AA171:AB171"/>
    <mergeCell ref="C172:D172"/>
    <mergeCell ref="E172:F172"/>
    <mergeCell ref="G172:H172"/>
    <mergeCell ref="I172:J172"/>
    <mergeCell ref="K172:L172"/>
    <mergeCell ref="M172:N172"/>
    <mergeCell ref="O172:P172"/>
    <mergeCell ref="Q172:R172"/>
    <mergeCell ref="S172:T172"/>
    <mergeCell ref="U172:V172"/>
    <mergeCell ref="W172:X172"/>
    <mergeCell ref="Y172:Z172"/>
    <mergeCell ref="AA172:AB172"/>
    <mergeCell ref="C171:D171"/>
    <mergeCell ref="E171:F171"/>
    <mergeCell ref="G171:H171"/>
    <mergeCell ref="I171:J171"/>
    <mergeCell ref="K171:L171"/>
    <mergeCell ref="M171:N171"/>
    <mergeCell ref="O171:P171"/>
    <mergeCell ref="Q171:R171"/>
    <mergeCell ref="S171:T171"/>
    <mergeCell ref="U173:V173"/>
    <mergeCell ref="W173:X173"/>
    <mergeCell ref="Y173:Z173"/>
    <mergeCell ref="AA173:AB173"/>
    <mergeCell ref="C174:D174"/>
    <mergeCell ref="E174:F174"/>
    <mergeCell ref="G174:H174"/>
    <mergeCell ref="I174:J174"/>
    <mergeCell ref="K174:L174"/>
    <mergeCell ref="M174:N174"/>
    <mergeCell ref="O174:P174"/>
    <mergeCell ref="Q174:R174"/>
    <mergeCell ref="S174:T174"/>
    <mergeCell ref="U174:V174"/>
    <mergeCell ref="W174:X174"/>
    <mergeCell ref="Y174:Z174"/>
    <mergeCell ref="AA174:AB174"/>
    <mergeCell ref="C173:D173"/>
    <mergeCell ref="E173:F173"/>
    <mergeCell ref="G173:H173"/>
    <mergeCell ref="I173:J173"/>
    <mergeCell ref="K173:L173"/>
    <mergeCell ref="M173:N173"/>
    <mergeCell ref="O173:P173"/>
    <mergeCell ref="Q173:R173"/>
    <mergeCell ref="S173:T173"/>
    <mergeCell ref="U175:V175"/>
    <mergeCell ref="W175:X175"/>
    <mergeCell ref="Y175:Z175"/>
    <mergeCell ref="AA175:AB175"/>
    <mergeCell ref="C176:D176"/>
    <mergeCell ref="E176:F176"/>
    <mergeCell ref="G176:H176"/>
    <mergeCell ref="I176:J176"/>
    <mergeCell ref="K176:L176"/>
    <mergeCell ref="M176:N176"/>
    <mergeCell ref="O176:P176"/>
    <mergeCell ref="Q176:R176"/>
    <mergeCell ref="S176:T176"/>
    <mergeCell ref="U176:V176"/>
    <mergeCell ref="W176:X176"/>
    <mergeCell ref="Y176:Z176"/>
    <mergeCell ref="AA176:AB176"/>
    <mergeCell ref="C175:D175"/>
    <mergeCell ref="E175:F175"/>
    <mergeCell ref="G175:H175"/>
    <mergeCell ref="I175:J175"/>
    <mergeCell ref="K175:L175"/>
    <mergeCell ref="M175:N175"/>
    <mergeCell ref="O175:P175"/>
    <mergeCell ref="Q175:R175"/>
    <mergeCell ref="S175:T175"/>
    <mergeCell ref="U177:V177"/>
    <mergeCell ref="W177:X177"/>
    <mergeCell ref="Y177:Z177"/>
    <mergeCell ref="AA177:AB177"/>
    <mergeCell ref="C178:D178"/>
    <mergeCell ref="E178:F178"/>
    <mergeCell ref="G178:H178"/>
    <mergeCell ref="I178:J178"/>
    <mergeCell ref="K178:L178"/>
    <mergeCell ref="M178:N178"/>
    <mergeCell ref="O178:P178"/>
    <mergeCell ref="Q178:R178"/>
    <mergeCell ref="S178:T178"/>
    <mergeCell ref="U178:V178"/>
    <mergeCell ref="W178:X178"/>
    <mergeCell ref="Y178:Z178"/>
    <mergeCell ref="AA178:AB178"/>
    <mergeCell ref="C177:D177"/>
    <mergeCell ref="E177:F177"/>
    <mergeCell ref="G177:H177"/>
    <mergeCell ref="I177:J177"/>
    <mergeCell ref="K177:L177"/>
    <mergeCell ref="M177:N177"/>
    <mergeCell ref="O177:P177"/>
    <mergeCell ref="Q177:R177"/>
    <mergeCell ref="S177:T177"/>
    <mergeCell ref="I186:J186"/>
    <mergeCell ref="K186:L186"/>
    <mergeCell ref="M186:N186"/>
    <mergeCell ref="O186:P186"/>
    <mergeCell ref="Q186:R186"/>
    <mergeCell ref="U179:V179"/>
    <mergeCell ref="W179:X179"/>
    <mergeCell ref="Y179:Z179"/>
    <mergeCell ref="AA179:AB179"/>
    <mergeCell ref="C180:D180"/>
    <mergeCell ref="E180:F180"/>
    <mergeCell ref="G180:H180"/>
    <mergeCell ref="I180:J180"/>
    <mergeCell ref="K180:L180"/>
    <mergeCell ref="M180:N180"/>
    <mergeCell ref="O180:P180"/>
    <mergeCell ref="Q180:R180"/>
    <mergeCell ref="S180:T180"/>
    <mergeCell ref="U180:V180"/>
    <mergeCell ref="W180:X180"/>
    <mergeCell ref="Y180:Z180"/>
    <mergeCell ref="AA180:AB180"/>
    <mergeCell ref="C179:D179"/>
    <mergeCell ref="E179:F179"/>
    <mergeCell ref="G179:H179"/>
    <mergeCell ref="I179:J179"/>
    <mergeCell ref="K179:L179"/>
    <mergeCell ref="M179:N179"/>
    <mergeCell ref="O179:P179"/>
    <mergeCell ref="Q179:R179"/>
    <mergeCell ref="S179:T179"/>
    <mergeCell ref="I181:J181"/>
    <mergeCell ref="O182:P182"/>
    <mergeCell ref="Q182:R182"/>
    <mergeCell ref="S182:T182"/>
    <mergeCell ref="U182:V182"/>
    <mergeCell ref="W182:X182"/>
    <mergeCell ref="Y182:Z182"/>
    <mergeCell ref="AA182:AB182"/>
    <mergeCell ref="C183:D183"/>
    <mergeCell ref="E183:F183"/>
    <mergeCell ref="G183:H183"/>
    <mergeCell ref="I183:J183"/>
    <mergeCell ref="K183:L183"/>
    <mergeCell ref="M183:N183"/>
    <mergeCell ref="U185:V185"/>
    <mergeCell ref="W185:X185"/>
    <mergeCell ref="Y185:Z185"/>
    <mergeCell ref="AA185:AB185"/>
    <mergeCell ref="Q181:R181"/>
    <mergeCell ref="O183:P183"/>
    <mergeCell ref="Q183:R183"/>
    <mergeCell ref="S183:T183"/>
    <mergeCell ref="U183:V183"/>
    <mergeCell ref="W183:X183"/>
    <mergeCell ref="Y183:Z183"/>
    <mergeCell ref="AA183:AB183"/>
    <mergeCell ref="C184:D184"/>
    <mergeCell ref="E184:F184"/>
    <mergeCell ref="G184:H184"/>
    <mergeCell ref="I184:J184"/>
    <mergeCell ref="K184:L184"/>
    <mergeCell ref="M184:N184"/>
    <mergeCell ref="O184:P184"/>
    <mergeCell ref="Q184:R184"/>
    <mergeCell ref="S184:T184"/>
    <mergeCell ref="U184:V184"/>
    <mergeCell ref="W184:X184"/>
    <mergeCell ref="Y184:Z184"/>
    <mergeCell ref="AA184:AB184"/>
    <mergeCell ref="S181:T181"/>
    <mergeCell ref="U181:V181"/>
    <mergeCell ref="W181:X181"/>
    <mergeCell ref="Y181:Z181"/>
    <mergeCell ref="AA181:AB181"/>
    <mergeCell ref="C182:D182"/>
    <mergeCell ref="E182:F182"/>
    <mergeCell ref="G182:H182"/>
    <mergeCell ref="I182:J182"/>
    <mergeCell ref="K182:L182"/>
    <mergeCell ref="M182:N182"/>
    <mergeCell ref="Y188:Z188"/>
    <mergeCell ref="AA188:AB188"/>
    <mergeCell ref="C187:D187"/>
    <mergeCell ref="E187:F187"/>
    <mergeCell ref="G187:H187"/>
    <mergeCell ref="I187:J187"/>
    <mergeCell ref="K187:L187"/>
    <mergeCell ref="M187:N187"/>
    <mergeCell ref="O187:P187"/>
    <mergeCell ref="Q187:R187"/>
    <mergeCell ref="S187:T187"/>
    <mergeCell ref="S186:T186"/>
    <mergeCell ref="U186:V186"/>
    <mergeCell ref="W186:X186"/>
    <mergeCell ref="Y186:Z186"/>
    <mergeCell ref="AA186:AB186"/>
    <mergeCell ref="C185:D185"/>
    <mergeCell ref="E185:F185"/>
    <mergeCell ref="G185:H185"/>
    <mergeCell ref="I185:J185"/>
    <mergeCell ref="K185:L185"/>
    <mergeCell ref="M185:N185"/>
    <mergeCell ref="O185:P185"/>
    <mergeCell ref="Q185:R185"/>
    <mergeCell ref="S185:T185"/>
    <mergeCell ref="U187:V187"/>
    <mergeCell ref="W187:X187"/>
    <mergeCell ref="Y187:Z187"/>
    <mergeCell ref="AA187:AB187"/>
    <mergeCell ref="C186:D186"/>
    <mergeCell ref="E186:F186"/>
    <mergeCell ref="G186:H186"/>
    <mergeCell ref="I189:J189"/>
    <mergeCell ref="K189:L189"/>
    <mergeCell ref="M189:N189"/>
    <mergeCell ref="O189:P189"/>
    <mergeCell ref="Q189:R189"/>
    <mergeCell ref="S189:T189"/>
    <mergeCell ref="C188:D188"/>
    <mergeCell ref="E188:F188"/>
    <mergeCell ref="G188:H188"/>
    <mergeCell ref="I188:J188"/>
    <mergeCell ref="K188:L188"/>
    <mergeCell ref="M188:N188"/>
    <mergeCell ref="O188:P188"/>
    <mergeCell ref="Q188:R188"/>
    <mergeCell ref="S188:T188"/>
    <mergeCell ref="U188:V188"/>
    <mergeCell ref="W188:X188"/>
    <mergeCell ref="A58:B73"/>
    <mergeCell ref="A74:B80"/>
    <mergeCell ref="A81:B83"/>
    <mergeCell ref="A109:B125"/>
    <mergeCell ref="A126:B132"/>
    <mergeCell ref="A133:B135"/>
    <mergeCell ref="A161:B180"/>
    <mergeCell ref="A181:B187"/>
    <mergeCell ref="A188:B190"/>
    <mergeCell ref="A31:B33"/>
    <mergeCell ref="A21:B25"/>
    <mergeCell ref="A26:B30"/>
    <mergeCell ref="U189:V189"/>
    <mergeCell ref="W189:X189"/>
    <mergeCell ref="Y189:Z189"/>
    <mergeCell ref="AA189:AB189"/>
    <mergeCell ref="C190:D190"/>
    <mergeCell ref="E190:F190"/>
    <mergeCell ref="G190:H190"/>
    <mergeCell ref="I190:J190"/>
    <mergeCell ref="K190:L190"/>
    <mergeCell ref="M190:N190"/>
    <mergeCell ref="O190:P190"/>
    <mergeCell ref="Q190:R190"/>
    <mergeCell ref="S190:T190"/>
    <mergeCell ref="U190:V190"/>
    <mergeCell ref="W190:X190"/>
    <mergeCell ref="Y190:Z190"/>
    <mergeCell ref="AA190:AB190"/>
    <mergeCell ref="C189:D189"/>
    <mergeCell ref="E189:F189"/>
    <mergeCell ref="G189:H189"/>
  </mergeCells>
  <pageMargins left="0.7" right="0.7" top="0.75" bottom="0.75" header="0.3" footer="0.3"/>
  <drawing r:id="rId1"/>
  <legacyDrawing r:id="rId2"/>
  <controls>
    <mc:AlternateContent xmlns:mc="http://schemas.openxmlformats.org/markup-compatibility/2006">
      <mc:Choice Requires="x14">
        <control shapeId="6145" r:id="rId3" name="btnIndice">
          <controlPr defaultSize="0" autoLine="0" r:id="rId4">
            <anchor moveWithCells="1">
              <from>
                <xdr:col>0</xdr:col>
                <xdr:colOff>259080</xdr:colOff>
                <xdr:row>0</xdr:row>
                <xdr:rowOff>106680</xdr:rowOff>
              </from>
              <to>
                <xdr:col>0</xdr:col>
                <xdr:colOff>1927860</xdr:colOff>
                <xdr:row>0</xdr:row>
                <xdr:rowOff>403860</xdr:rowOff>
              </to>
            </anchor>
          </controlPr>
        </control>
      </mc:Choice>
      <mc:Fallback>
        <control shapeId="6145" r:id="rId3" name="btnIndice"/>
      </mc:Fallback>
    </mc:AlternateContent>
    <mc:AlternateContent xmlns:mc="http://schemas.openxmlformats.org/markup-compatibility/2006">
      <mc:Choice Requires="x14">
        <control shapeId="6146" r:id="rId5" name="btnAnterior">
          <controlPr defaultSize="0" autoLine="0" r:id="rId6">
            <anchor moveWithCells="1">
              <from>
                <xdr:col>10</xdr:col>
                <xdr:colOff>449580</xdr:colOff>
                <xdr:row>0</xdr:row>
                <xdr:rowOff>106680</xdr:rowOff>
              </from>
              <to>
                <xdr:col>11</xdr:col>
                <xdr:colOff>1021080</xdr:colOff>
                <xdr:row>0</xdr:row>
                <xdr:rowOff>403860</xdr:rowOff>
              </to>
            </anchor>
          </controlPr>
        </control>
      </mc:Choice>
      <mc:Fallback>
        <control shapeId="6146" r:id="rId5" name="btnAnterior"/>
      </mc:Fallback>
    </mc:AlternateContent>
    <mc:AlternateContent xmlns:mc="http://schemas.openxmlformats.org/markup-compatibility/2006">
      <mc:Choice Requires="x14">
        <control shapeId="6147" r:id="rId7" name="btnSiguiente">
          <controlPr defaultSize="0" autoLine="0" r:id="rId8">
            <anchor moveWithCells="1">
              <from>
                <xdr:col>11</xdr:col>
                <xdr:colOff>982980</xdr:colOff>
                <xdr:row>0</xdr:row>
                <xdr:rowOff>106680</xdr:rowOff>
              </from>
              <to>
                <xdr:col>13</xdr:col>
                <xdr:colOff>160020</xdr:colOff>
                <xdr:row>0</xdr:row>
                <xdr:rowOff>403860</xdr:rowOff>
              </to>
            </anchor>
          </controlPr>
        </control>
      </mc:Choice>
      <mc:Fallback>
        <control shapeId="6147" r:id="rId7" name="btnSiguiente"/>
      </mc:Fallback>
    </mc:AlternateContent>
    <mc:AlternateContent xmlns:mc="http://schemas.openxmlformats.org/markup-compatibility/2006">
      <mc:Choice Requires="x14">
        <control shapeId="6148" r:id="rId9" name="btnCOp1">
          <controlPr defaultSize="0" autoLine="0" r:id="rId10">
            <anchor moveWithCells="1">
              <from>
                <xdr:col>0</xdr:col>
                <xdr:colOff>655320</xdr:colOff>
                <xdr:row>60</xdr:row>
                <xdr:rowOff>91440</xdr:rowOff>
              </from>
              <to>
                <xdr:col>1</xdr:col>
                <xdr:colOff>60960</xdr:colOff>
                <xdr:row>62</xdr:row>
                <xdr:rowOff>22860</xdr:rowOff>
              </to>
            </anchor>
          </controlPr>
        </control>
      </mc:Choice>
      <mc:Fallback>
        <control shapeId="6148" r:id="rId9" name="btnCOp1"/>
      </mc:Fallback>
    </mc:AlternateContent>
    <mc:AlternateContent xmlns:mc="http://schemas.openxmlformats.org/markup-compatibility/2006">
      <mc:Choice Requires="x14">
        <control shapeId="6149" r:id="rId11" name="btnCOp2">
          <controlPr defaultSize="0" autoLine="0" r:id="rId12">
            <anchor moveWithCells="1">
              <from>
                <xdr:col>0</xdr:col>
                <xdr:colOff>723900</xdr:colOff>
                <xdr:row>112</xdr:row>
                <xdr:rowOff>53340</xdr:rowOff>
              </from>
              <to>
                <xdr:col>1</xdr:col>
                <xdr:colOff>129540</xdr:colOff>
                <xdr:row>113</xdr:row>
                <xdr:rowOff>167640</xdr:rowOff>
              </to>
            </anchor>
          </controlPr>
        </control>
      </mc:Choice>
      <mc:Fallback>
        <control shapeId="6149" r:id="rId11" name="btnCOp2"/>
      </mc:Fallback>
    </mc:AlternateContent>
    <mc:AlternateContent xmlns:mc="http://schemas.openxmlformats.org/markup-compatibility/2006">
      <mc:Choice Requires="x14">
        <control shapeId="6150" r:id="rId13" name="btnCOp3">
          <controlPr defaultSize="0" autoLine="0" r:id="rId14">
            <anchor moveWithCells="1">
              <from>
                <xdr:col>0</xdr:col>
                <xdr:colOff>723900</xdr:colOff>
                <xdr:row>164</xdr:row>
                <xdr:rowOff>106680</xdr:rowOff>
              </from>
              <to>
                <xdr:col>1</xdr:col>
                <xdr:colOff>129540</xdr:colOff>
                <xdr:row>166</xdr:row>
                <xdr:rowOff>38100</xdr:rowOff>
              </to>
            </anchor>
          </controlPr>
        </control>
      </mc:Choice>
      <mc:Fallback>
        <control shapeId="6150" r:id="rId13" name="btnCOp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D1:AC80"/>
  <sheetViews>
    <sheetView showGridLines="0" zoomScale="66" zoomScaleNormal="66" workbookViewId="0">
      <pane ySplit="1" topLeftCell="A6" activePane="bottomLeft" state="frozen"/>
      <selection pane="bottomLeft" activeCell="F66" sqref="F66"/>
    </sheetView>
  </sheetViews>
  <sheetFormatPr baseColWidth="10" defaultRowHeight="14.4" x14ac:dyDescent="0.3"/>
  <cols>
    <col min="4" max="4" width="49.6640625" customWidth="1"/>
    <col min="5" max="5" width="29.33203125" customWidth="1"/>
    <col min="6" max="6" width="34" customWidth="1"/>
    <col min="7" max="7" width="28.33203125" customWidth="1"/>
    <col min="8" max="8" width="28.109375" customWidth="1"/>
    <col min="9" max="9" width="24.5546875" customWidth="1"/>
    <col min="10" max="10" width="22.109375" customWidth="1"/>
    <col min="11" max="11" width="23.5546875" customWidth="1"/>
    <col min="12" max="12" width="18.5546875" customWidth="1"/>
    <col min="13" max="14" width="19" customWidth="1"/>
    <col min="15" max="15" width="21" customWidth="1"/>
    <col min="16" max="16" width="18.33203125" customWidth="1"/>
    <col min="17" max="17" width="19.5546875" customWidth="1"/>
    <col min="18" max="18" width="16" customWidth="1"/>
    <col min="19" max="19" width="18" customWidth="1"/>
    <col min="20" max="20" width="16.5546875" customWidth="1"/>
    <col min="21" max="21" width="18.88671875" customWidth="1"/>
    <col min="22" max="22" width="14.6640625" customWidth="1"/>
    <col min="23" max="23" width="18.88671875" customWidth="1"/>
    <col min="24" max="24" width="17.6640625" customWidth="1"/>
    <col min="25" max="25" width="27" customWidth="1"/>
    <col min="26" max="26" width="18.88671875" customWidth="1"/>
    <col min="27" max="27" width="21" customWidth="1"/>
    <col min="28" max="28" width="15.5546875" customWidth="1"/>
    <col min="29" max="29" width="19.33203125" customWidth="1"/>
    <col min="31" max="31" width="12.88671875" customWidth="1"/>
  </cols>
  <sheetData>
    <row r="1" spans="4:11" s="992" customFormat="1" ht="39.75" customHeight="1" thickBot="1" x14ac:dyDescent="0.35">
      <c r="E1" s="993" t="s">
        <v>318</v>
      </c>
      <c r="F1" s="993"/>
      <c r="G1" s="993"/>
      <c r="H1" s="993"/>
      <c r="I1" s="993"/>
      <c r="J1" s="993"/>
      <c r="K1" s="993"/>
    </row>
    <row r="2" spans="4:11" ht="19.5" customHeight="1" thickTop="1" thickBot="1" x14ac:dyDescent="0.35"/>
    <row r="3" spans="4:11" ht="28.5" customHeight="1" thickBot="1" x14ac:dyDescent="0.55000000000000004">
      <c r="E3" s="788" t="s">
        <v>213</v>
      </c>
      <c r="F3" s="789"/>
      <c r="G3" s="789"/>
      <c r="H3" s="789"/>
      <c r="I3" s="790"/>
    </row>
    <row r="4" spans="4:11" ht="23.25" customHeight="1" thickBot="1" x14ac:dyDescent="0.35">
      <c r="E4" s="791" t="s">
        <v>458</v>
      </c>
      <c r="F4" s="792"/>
      <c r="G4" s="792"/>
      <c r="H4" s="792"/>
      <c r="I4" s="793"/>
    </row>
    <row r="6" spans="4:11" ht="15" thickBot="1" x14ac:dyDescent="0.35"/>
    <row r="7" spans="4:11" ht="26.4" thickBot="1" x14ac:dyDescent="0.55000000000000004">
      <c r="D7" s="788" t="s">
        <v>166</v>
      </c>
      <c r="E7" s="789"/>
      <c r="F7" s="790"/>
    </row>
    <row r="8" spans="4:11" x14ac:dyDescent="0.3">
      <c r="D8" s="150" t="s">
        <v>167</v>
      </c>
      <c r="E8" s="151">
        <v>52</v>
      </c>
      <c r="F8" s="152" t="s">
        <v>168</v>
      </c>
    </row>
    <row r="9" spans="4:11" x14ac:dyDescent="0.3">
      <c r="D9" s="150" t="s">
        <v>169</v>
      </c>
      <c r="E9" s="151">
        <v>2</v>
      </c>
      <c r="F9" s="152" t="s">
        <v>168</v>
      </c>
    </row>
    <row r="10" spans="4:11" x14ac:dyDescent="0.3">
      <c r="D10" s="150" t="s">
        <v>170</v>
      </c>
      <c r="E10" s="151">
        <v>14</v>
      </c>
      <c r="F10" s="152" t="s">
        <v>171</v>
      </c>
    </row>
    <row r="11" spans="4:11" x14ac:dyDescent="0.3">
      <c r="D11" s="150" t="s">
        <v>172</v>
      </c>
      <c r="E11" s="151">
        <f>(E8-E9)*5 -E10</f>
        <v>236</v>
      </c>
      <c r="F11" s="152" t="s">
        <v>171</v>
      </c>
    </row>
    <row r="12" spans="4:11" x14ac:dyDescent="0.3">
      <c r="D12" s="150" t="s">
        <v>173</v>
      </c>
      <c r="E12" s="151">
        <v>8</v>
      </c>
      <c r="F12" s="152" t="s">
        <v>174</v>
      </c>
    </row>
    <row r="13" spans="4:11" ht="15" thickBot="1" x14ac:dyDescent="0.35">
      <c r="D13" s="153" t="s">
        <v>175</v>
      </c>
      <c r="E13" s="154">
        <f>E11*E12</f>
        <v>1888</v>
      </c>
      <c r="F13" s="155" t="s">
        <v>174</v>
      </c>
    </row>
    <row r="14" spans="4:11" ht="15" thickBot="1" x14ac:dyDescent="0.35">
      <c r="D14" s="780" t="s">
        <v>176</v>
      </c>
      <c r="E14" s="156">
        <v>1800</v>
      </c>
      <c r="F14" s="157" t="s">
        <v>177</v>
      </c>
    </row>
    <row r="15" spans="4:11" ht="43.8" thickBot="1" x14ac:dyDescent="0.35">
      <c r="D15" s="781"/>
      <c r="E15" s="995">
        <f>E14/12</f>
        <v>150</v>
      </c>
      <c r="F15" s="994" t="s">
        <v>178</v>
      </c>
    </row>
    <row r="17" spans="4:8" ht="15" thickBot="1" x14ac:dyDescent="0.35"/>
    <row r="18" spans="4:8" ht="26.4" thickBot="1" x14ac:dyDescent="0.55000000000000004">
      <c r="D18" s="782" t="s">
        <v>207</v>
      </c>
      <c r="E18" s="783"/>
      <c r="F18" s="783"/>
      <c r="G18" s="783"/>
      <c r="H18" s="784"/>
    </row>
    <row r="19" spans="4:8" ht="43.8" thickBot="1" x14ac:dyDescent="0.35">
      <c r="D19" s="170" t="s">
        <v>179</v>
      </c>
      <c r="E19" s="171" t="s">
        <v>40</v>
      </c>
      <c r="F19" s="171" t="s">
        <v>180</v>
      </c>
      <c r="G19" s="171" t="s">
        <v>181</v>
      </c>
      <c r="H19" s="172" t="s">
        <v>182</v>
      </c>
    </row>
    <row r="20" spans="4:8" x14ac:dyDescent="0.3">
      <c r="D20" s="159">
        <v>1</v>
      </c>
      <c r="E20" s="160" t="s">
        <v>190</v>
      </c>
      <c r="F20" s="161">
        <v>16</v>
      </c>
      <c r="G20" s="161">
        <v>12</v>
      </c>
      <c r="H20" s="162">
        <f t="shared" ref="H20:H24" si="0">G20/F20</f>
        <v>0.75</v>
      </c>
    </row>
    <row r="21" spans="4:8" ht="28.8" x14ac:dyDescent="0.3">
      <c r="D21" s="147">
        <v>2</v>
      </c>
      <c r="E21" s="163" t="s">
        <v>208</v>
      </c>
      <c r="F21" s="148">
        <v>16</v>
      </c>
      <c r="G21" s="148">
        <v>48</v>
      </c>
      <c r="H21" s="164">
        <f t="shared" si="0"/>
        <v>3</v>
      </c>
    </row>
    <row r="22" spans="4:8" x14ac:dyDescent="0.3">
      <c r="D22" s="147">
        <v>3</v>
      </c>
      <c r="E22" s="163" t="s">
        <v>192</v>
      </c>
      <c r="F22" s="148">
        <v>24</v>
      </c>
      <c r="G22" s="148">
        <v>24</v>
      </c>
      <c r="H22" s="164">
        <f t="shared" si="0"/>
        <v>1</v>
      </c>
    </row>
    <row r="23" spans="4:8" x14ac:dyDescent="0.3">
      <c r="D23" s="147">
        <v>4</v>
      </c>
      <c r="E23" s="163" t="s">
        <v>193</v>
      </c>
      <c r="F23" s="148">
        <v>8</v>
      </c>
      <c r="G23" s="148">
        <v>1</v>
      </c>
      <c r="H23" s="164">
        <f t="shared" si="0"/>
        <v>0.125</v>
      </c>
    </row>
    <row r="24" spans="4:8" ht="15" thickBot="1" x14ac:dyDescent="0.35">
      <c r="D24" s="165">
        <v>5</v>
      </c>
      <c r="E24" s="166" t="s">
        <v>191</v>
      </c>
      <c r="F24" s="149">
        <v>2</v>
      </c>
      <c r="G24" s="149">
        <v>1</v>
      </c>
      <c r="H24" s="167">
        <f t="shared" si="0"/>
        <v>0.5</v>
      </c>
    </row>
    <row r="25" spans="4:8" ht="58.2" thickBot="1" x14ac:dyDescent="0.35">
      <c r="D25" s="768" t="s">
        <v>465</v>
      </c>
      <c r="E25" s="769"/>
      <c r="F25" s="770"/>
      <c r="G25" s="173" t="s">
        <v>183</v>
      </c>
      <c r="H25" s="168">
        <f>SUM(H20:H24)</f>
        <v>5.375</v>
      </c>
    </row>
    <row r="26" spans="4:8" ht="58.2" thickBot="1" x14ac:dyDescent="0.35">
      <c r="D26" s="771"/>
      <c r="E26" s="772"/>
      <c r="F26" s="773"/>
      <c r="G26" s="158" t="s">
        <v>184</v>
      </c>
      <c r="H26" s="169">
        <f>E15/H25</f>
        <v>27.906976744186046</v>
      </c>
    </row>
    <row r="28" spans="4:8" ht="15" thickBot="1" x14ac:dyDescent="0.35"/>
    <row r="29" spans="4:8" ht="26.4" thickBot="1" x14ac:dyDescent="0.55000000000000004">
      <c r="D29" s="785" t="s">
        <v>463</v>
      </c>
      <c r="E29" s="786"/>
      <c r="F29" s="786"/>
      <c r="G29" s="786"/>
      <c r="H29" s="787"/>
    </row>
    <row r="30" spans="4:8" ht="43.8" thickBot="1" x14ac:dyDescent="0.35">
      <c r="D30" s="170" t="s">
        <v>179</v>
      </c>
      <c r="E30" s="171" t="s">
        <v>40</v>
      </c>
      <c r="F30" s="171" t="s">
        <v>180</v>
      </c>
      <c r="G30" s="171" t="s">
        <v>181</v>
      </c>
      <c r="H30" s="172" t="s">
        <v>182</v>
      </c>
    </row>
    <row r="31" spans="4:8" x14ac:dyDescent="0.3">
      <c r="D31" s="159">
        <v>1</v>
      </c>
      <c r="E31" s="160" t="s">
        <v>190</v>
      </c>
      <c r="F31" s="161">
        <v>16</v>
      </c>
      <c r="G31" s="161">
        <v>16</v>
      </c>
      <c r="H31" s="162">
        <f t="shared" ref="H31:H35" si="1">G31/F31</f>
        <v>1</v>
      </c>
    </row>
    <row r="32" spans="4:8" ht="28.8" x14ac:dyDescent="0.3">
      <c r="D32" s="147">
        <v>2</v>
      </c>
      <c r="E32" s="163" t="s">
        <v>208</v>
      </c>
      <c r="F32" s="148">
        <v>16</v>
      </c>
      <c r="G32" s="148">
        <v>50</v>
      </c>
      <c r="H32" s="164">
        <f t="shared" si="1"/>
        <v>3.125</v>
      </c>
    </row>
    <row r="33" spans="4:8" x14ac:dyDescent="0.3">
      <c r="D33" s="147">
        <v>3</v>
      </c>
      <c r="E33" s="163" t="s">
        <v>192</v>
      </c>
      <c r="F33" s="148">
        <v>24</v>
      </c>
      <c r="G33" s="148">
        <v>35</v>
      </c>
      <c r="H33" s="164">
        <f t="shared" si="1"/>
        <v>1.4583333333333333</v>
      </c>
    </row>
    <row r="34" spans="4:8" x14ac:dyDescent="0.3">
      <c r="D34" s="147">
        <v>4</v>
      </c>
      <c r="E34" s="163" t="s">
        <v>193</v>
      </c>
      <c r="F34" s="148">
        <v>8</v>
      </c>
      <c r="G34" s="148">
        <v>2</v>
      </c>
      <c r="H34" s="164">
        <f t="shared" si="1"/>
        <v>0.25</v>
      </c>
    </row>
    <row r="35" spans="4:8" ht="15" thickBot="1" x14ac:dyDescent="0.35">
      <c r="D35" s="165">
        <v>5</v>
      </c>
      <c r="E35" s="166" t="s">
        <v>191</v>
      </c>
      <c r="F35" s="149">
        <v>2</v>
      </c>
      <c r="G35" s="149">
        <v>1</v>
      </c>
      <c r="H35" s="167">
        <f t="shared" si="1"/>
        <v>0.5</v>
      </c>
    </row>
    <row r="36" spans="4:8" ht="58.2" thickBot="1" x14ac:dyDescent="0.35">
      <c r="D36" s="768" t="s">
        <v>465</v>
      </c>
      <c r="E36" s="769"/>
      <c r="F36" s="770"/>
      <c r="G36" s="173" t="s">
        <v>183</v>
      </c>
      <c r="H36" s="168">
        <f>SUM(H31:H35)</f>
        <v>6.333333333333333</v>
      </c>
    </row>
    <row r="37" spans="4:8" ht="58.2" thickBot="1" x14ac:dyDescent="0.35">
      <c r="D37" s="771"/>
      <c r="E37" s="772"/>
      <c r="F37" s="773"/>
      <c r="G37" s="158" t="s">
        <v>184</v>
      </c>
      <c r="H37" s="169">
        <f>E15/H36</f>
        <v>23.684210526315791</v>
      </c>
    </row>
    <row r="39" spans="4:8" ht="15" thickBot="1" x14ac:dyDescent="0.35"/>
    <row r="40" spans="4:8" ht="26.4" thickBot="1" x14ac:dyDescent="0.55000000000000004">
      <c r="D40" s="788" t="s">
        <v>464</v>
      </c>
      <c r="E40" s="789"/>
      <c r="F40" s="789"/>
      <c r="G40" s="789"/>
      <c r="H40" s="790"/>
    </row>
    <row r="41" spans="4:8" ht="43.8" thickBot="1" x14ac:dyDescent="0.35">
      <c r="D41" s="170" t="s">
        <v>179</v>
      </c>
      <c r="E41" s="171" t="s">
        <v>40</v>
      </c>
      <c r="F41" s="171" t="s">
        <v>180</v>
      </c>
      <c r="G41" s="171" t="s">
        <v>181</v>
      </c>
      <c r="H41" s="172" t="s">
        <v>182</v>
      </c>
    </row>
    <row r="42" spans="4:8" x14ac:dyDescent="0.3">
      <c r="D42" s="159">
        <v>1</v>
      </c>
      <c r="E42" s="160" t="s">
        <v>190</v>
      </c>
      <c r="F42" s="161">
        <v>16</v>
      </c>
      <c r="G42" s="161">
        <v>16</v>
      </c>
      <c r="H42" s="162">
        <f t="shared" ref="H42:H46" si="2">G42/F42</f>
        <v>1</v>
      </c>
    </row>
    <row r="43" spans="4:8" ht="28.8" x14ac:dyDescent="0.3">
      <c r="D43" s="147">
        <v>2</v>
      </c>
      <c r="E43" s="163" t="s">
        <v>208</v>
      </c>
      <c r="F43" s="148">
        <v>16</v>
      </c>
      <c r="G43" s="148">
        <v>50</v>
      </c>
      <c r="H43" s="164">
        <f t="shared" si="2"/>
        <v>3.125</v>
      </c>
    </row>
    <row r="44" spans="4:8" x14ac:dyDescent="0.3">
      <c r="D44" s="147">
        <v>3</v>
      </c>
      <c r="E44" s="163" t="s">
        <v>192</v>
      </c>
      <c r="F44" s="148">
        <v>24</v>
      </c>
      <c r="G44" s="148">
        <v>40</v>
      </c>
      <c r="H44" s="164">
        <f t="shared" si="2"/>
        <v>1.6666666666666667</v>
      </c>
    </row>
    <row r="45" spans="4:8" x14ac:dyDescent="0.3">
      <c r="D45" s="147">
        <v>4</v>
      </c>
      <c r="E45" s="163" t="s">
        <v>193</v>
      </c>
      <c r="F45" s="148">
        <v>8</v>
      </c>
      <c r="G45" s="148">
        <v>1</v>
      </c>
      <c r="H45" s="164">
        <f t="shared" si="2"/>
        <v>0.125</v>
      </c>
    </row>
    <row r="46" spans="4:8" ht="15" thickBot="1" x14ac:dyDescent="0.35">
      <c r="D46" s="165">
        <v>5</v>
      </c>
      <c r="E46" s="166" t="s">
        <v>191</v>
      </c>
      <c r="F46" s="149">
        <v>2</v>
      </c>
      <c r="G46" s="149">
        <v>1</v>
      </c>
      <c r="H46" s="167">
        <f t="shared" si="2"/>
        <v>0.5</v>
      </c>
    </row>
    <row r="47" spans="4:8" ht="58.2" thickBot="1" x14ac:dyDescent="0.35">
      <c r="D47" s="768" t="s">
        <v>465</v>
      </c>
      <c r="E47" s="769"/>
      <c r="F47" s="770"/>
      <c r="G47" s="173" t="s">
        <v>183</v>
      </c>
      <c r="H47" s="168">
        <f>SUM(H42:H46)</f>
        <v>6.416666666666667</v>
      </c>
    </row>
    <row r="48" spans="4:8" ht="58.2" thickBot="1" x14ac:dyDescent="0.35">
      <c r="D48" s="771"/>
      <c r="E48" s="772"/>
      <c r="F48" s="773"/>
      <c r="G48" s="158" t="s">
        <v>184</v>
      </c>
      <c r="H48" s="169">
        <f>E15/H47</f>
        <v>23.376623376623375</v>
      </c>
    </row>
    <row r="52" spans="4:29" ht="15" thickBot="1" x14ac:dyDescent="0.35"/>
    <row r="53" spans="4:29" ht="27" thickTop="1" thickBot="1" x14ac:dyDescent="0.55000000000000004">
      <c r="D53" s="774" t="s">
        <v>185</v>
      </c>
      <c r="E53" s="775"/>
      <c r="F53" s="775"/>
      <c r="G53" s="775"/>
      <c r="H53" s="776"/>
      <c r="I53" s="25"/>
      <c r="J53" s="25"/>
      <c r="K53" s="25"/>
      <c r="L53" s="25"/>
      <c r="M53" s="25"/>
      <c r="N53" s="25"/>
      <c r="O53" s="25"/>
      <c r="P53" s="25"/>
      <c r="Q53" s="25"/>
      <c r="R53" s="25"/>
      <c r="S53" s="25"/>
      <c r="T53" s="25"/>
      <c r="U53" s="25"/>
      <c r="V53" s="25"/>
      <c r="W53" s="25"/>
      <c r="X53" s="25"/>
      <c r="Y53" s="25"/>
      <c r="Z53" s="25"/>
      <c r="AA53" s="25"/>
      <c r="AB53" s="25"/>
      <c r="AC53" s="25"/>
    </row>
    <row r="54" spans="4:29" ht="15" thickTop="1" x14ac:dyDescent="0.3">
      <c r="D54" s="798" t="s">
        <v>194</v>
      </c>
      <c r="E54" s="799"/>
      <c r="F54" s="794" t="s">
        <v>28</v>
      </c>
      <c r="G54" s="795"/>
      <c r="H54" s="794" t="s">
        <v>29</v>
      </c>
      <c r="I54" s="795"/>
      <c r="J54" s="794" t="s">
        <v>30</v>
      </c>
      <c r="K54" s="795"/>
      <c r="L54" s="794" t="s">
        <v>31</v>
      </c>
      <c r="M54" s="795"/>
      <c r="N54" s="794" t="s">
        <v>32</v>
      </c>
      <c r="O54" s="795"/>
      <c r="P54" s="794" t="s">
        <v>33</v>
      </c>
      <c r="Q54" s="795"/>
      <c r="R54" s="794" t="s">
        <v>34</v>
      </c>
      <c r="S54" s="795"/>
      <c r="T54" s="794" t="s">
        <v>35</v>
      </c>
      <c r="U54" s="795"/>
      <c r="V54" s="794" t="s">
        <v>36</v>
      </c>
      <c r="W54" s="795"/>
      <c r="X54" s="794" t="s">
        <v>37</v>
      </c>
      <c r="Y54" s="795"/>
      <c r="Z54" s="794" t="s">
        <v>38</v>
      </c>
      <c r="AA54" s="795"/>
      <c r="AB54" s="794" t="s">
        <v>39</v>
      </c>
      <c r="AC54" s="795"/>
    </row>
    <row r="55" spans="4:29" ht="28.8" x14ac:dyDescent="0.3">
      <c r="D55" s="800"/>
      <c r="E55" s="801"/>
      <c r="F55" s="186" t="s">
        <v>186</v>
      </c>
      <c r="G55" s="187" t="s">
        <v>187</v>
      </c>
      <c r="H55" s="186" t="s">
        <v>186</v>
      </c>
      <c r="I55" s="187" t="s">
        <v>188</v>
      </c>
      <c r="J55" s="186" t="s">
        <v>186</v>
      </c>
      <c r="K55" s="187" t="s">
        <v>187</v>
      </c>
      <c r="L55" s="186" t="s">
        <v>186</v>
      </c>
      <c r="M55" s="187" t="s">
        <v>188</v>
      </c>
      <c r="N55" s="186" t="s">
        <v>186</v>
      </c>
      <c r="O55" s="187" t="s">
        <v>187</v>
      </c>
      <c r="P55" s="186" t="s">
        <v>186</v>
      </c>
      <c r="Q55" s="187" t="s">
        <v>187</v>
      </c>
      <c r="R55" s="186" t="s">
        <v>186</v>
      </c>
      <c r="S55" s="187" t="s">
        <v>187</v>
      </c>
      <c r="T55" s="186" t="s">
        <v>186</v>
      </c>
      <c r="U55" s="187" t="s">
        <v>187</v>
      </c>
      <c r="V55" s="186" t="s">
        <v>186</v>
      </c>
      <c r="W55" s="187" t="s">
        <v>187</v>
      </c>
      <c r="X55" s="186" t="s">
        <v>186</v>
      </c>
      <c r="Y55" s="187" t="s">
        <v>187</v>
      </c>
      <c r="Z55" s="186" t="s">
        <v>186</v>
      </c>
      <c r="AA55" s="187" t="s">
        <v>187</v>
      </c>
      <c r="AB55" s="186" t="s">
        <v>186</v>
      </c>
      <c r="AC55" s="187" t="s">
        <v>187</v>
      </c>
    </row>
    <row r="56" spans="4:29" ht="15.6" x14ac:dyDescent="0.3">
      <c r="D56" s="796" t="s">
        <v>209</v>
      </c>
      <c r="E56" s="191" t="str">
        <f>Hipótesis!B30</f>
        <v>Dada</v>
      </c>
      <c r="F56" s="188">
        <f>'Proyección de ventas'!E40</f>
        <v>40</v>
      </c>
      <c r="G56" s="189">
        <f>F56*$H$25</f>
        <v>215</v>
      </c>
      <c r="H56" s="188">
        <f>'Proyección de ventas'!G40</f>
        <v>40</v>
      </c>
      <c r="I56" s="189">
        <f>H56*$H$25</f>
        <v>215</v>
      </c>
      <c r="J56" s="188">
        <f>'Proyección de ventas'!I40</f>
        <v>40</v>
      </c>
      <c r="K56" s="189">
        <f>J56*$H$25</f>
        <v>215</v>
      </c>
      <c r="L56" s="188">
        <f>'Proyección de ventas'!K40</f>
        <v>40</v>
      </c>
      <c r="M56" s="189">
        <f>L56*$H$25</f>
        <v>215</v>
      </c>
      <c r="N56" s="188">
        <f>'Proyección de ventas'!M40</f>
        <v>40</v>
      </c>
      <c r="O56" s="189">
        <f>N56*$H$25</f>
        <v>215</v>
      </c>
      <c r="P56" s="188">
        <f>'Proyección de ventas'!O40</f>
        <v>40</v>
      </c>
      <c r="Q56" s="189">
        <f>P56*$H$25</f>
        <v>215</v>
      </c>
      <c r="R56" s="188">
        <f>'Proyección de ventas'!Q40</f>
        <v>40</v>
      </c>
      <c r="S56" s="189">
        <f>R56*$H$25</f>
        <v>215</v>
      </c>
      <c r="T56" s="188">
        <f>'Proyección de ventas'!S40</f>
        <v>40</v>
      </c>
      <c r="U56" s="189">
        <f>T56*$H$25</f>
        <v>215</v>
      </c>
      <c r="V56" s="188">
        <f>'Proyección de ventas'!U40</f>
        <v>40</v>
      </c>
      <c r="W56" s="189">
        <f>V56*$H$25</f>
        <v>215</v>
      </c>
      <c r="X56" s="188">
        <f>'Proyección de ventas'!W40</f>
        <v>40</v>
      </c>
      <c r="Y56" s="189">
        <f>X56*$H$25</f>
        <v>215</v>
      </c>
      <c r="Z56" s="188">
        <f>'Proyección de ventas'!Y40</f>
        <v>50</v>
      </c>
      <c r="AA56" s="189">
        <f>Z56*$H$25</f>
        <v>268.75</v>
      </c>
      <c r="AB56" s="188">
        <f>'Proyección de ventas'!AA40</f>
        <v>50</v>
      </c>
      <c r="AC56" s="189">
        <f>AB56*$H$25</f>
        <v>268.75</v>
      </c>
    </row>
    <row r="57" spans="4:29" ht="15.6" x14ac:dyDescent="0.3">
      <c r="D57" s="797"/>
      <c r="E57" s="191" t="str">
        <f>Hipótesis!B31</f>
        <v>Gretel</v>
      </c>
      <c r="F57" s="188">
        <f>'Proyección de ventas'!E41</f>
        <v>32</v>
      </c>
      <c r="G57" s="189">
        <f>F57*$H$25</f>
        <v>172</v>
      </c>
      <c r="H57" s="188">
        <f>'Proyección de ventas'!G41</f>
        <v>32</v>
      </c>
      <c r="I57" s="189">
        <f>H57*$H$25</f>
        <v>172</v>
      </c>
      <c r="J57" s="188">
        <f>'Proyección de ventas'!I41</f>
        <v>32</v>
      </c>
      <c r="K57" s="189">
        <f>J57*$H$25</f>
        <v>172</v>
      </c>
      <c r="L57" s="188">
        <f>'Proyección de ventas'!K41</f>
        <v>32</v>
      </c>
      <c r="M57" s="189">
        <f>L57*$H$25</f>
        <v>172</v>
      </c>
      <c r="N57" s="188">
        <f>'Proyección de ventas'!M41</f>
        <v>32</v>
      </c>
      <c r="O57" s="189">
        <f>N57*$H$25</f>
        <v>172</v>
      </c>
      <c r="P57" s="188">
        <f>'Proyección de ventas'!O41</f>
        <v>32</v>
      </c>
      <c r="Q57" s="189">
        <f>P57*$H$25</f>
        <v>172</v>
      </c>
      <c r="R57" s="188">
        <f>'Proyección de ventas'!Q41</f>
        <v>32</v>
      </c>
      <c r="S57" s="189">
        <f>R57*$H$25</f>
        <v>172</v>
      </c>
      <c r="T57" s="188">
        <f>'Proyección de ventas'!S41</f>
        <v>32</v>
      </c>
      <c r="U57" s="189">
        <f>T57*$H$25</f>
        <v>172</v>
      </c>
      <c r="V57" s="188">
        <f>'Proyección de ventas'!U41</f>
        <v>32</v>
      </c>
      <c r="W57" s="189">
        <f>V57*$H$25</f>
        <v>172</v>
      </c>
      <c r="X57" s="188">
        <f>'Proyección de ventas'!W41</f>
        <v>32</v>
      </c>
      <c r="Y57" s="189">
        <f>X57*$H$25</f>
        <v>172</v>
      </c>
      <c r="Z57" s="188">
        <f>'Proyección de ventas'!Y41</f>
        <v>40</v>
      </c>
      <c r="AA57" s="189">
        <f>Z57*$H$25</f>
        <v>215</v>
      </c>
      <c r="AB57" s="188">
        <f>'Proyección de ventas'!AA41</f>
        <v>40</v>
      </c>
      <c r="AC57" s="189">
        <f>AB57*$H$25</f>
        <v>215</v>
      </c>
    </row>
    <row r="58" spans="4:29" ht="15.6" x14ac:dyDescent="0.3">
      <c r="D58" s="192" t="s">
        <v>461</v>
      </c>
      <c r="E58" s="193" t="str">
        <f>Hipótesis!B32</f>
        <v>Monkey</v>
      </c>
      <c r="F58" s="188">
        <f>'Proyección de ventas'!E43</f>
        <v>24</v>
      </c>
      <c r="G58" s="189">
        <f>F58*$H$36</f>
        <v>152</v>
      </c>
      <c r="H58" s="188">
        <f>'Proyección de ventas'!G43</f>
        <v>24</v>
      </c>
      <c r="I58" s="189">
        <f>H58*$H$36</f>
        <v>152</v>
      </c>
      <c r="J58" s="188">
        <f>'Proyección de ventas'!I43</f>
        <v>24</v>
      </c>
      <c r="K58" s="189">
        <f>J58*$H$36</f>
        <v>152</v>
      </c>
      <c r="L58" s="188">
        <f>'Proyección de ventas'!K43</f>
        <v>24</v>
      </c>
      <c r="M58" s="189">
        <f>L58*$H$36</f>
        <v>152</v>
      </c>
      <c r="N58" s="188">
        <f>'Proyección de ventas'!M43</f>
        <v>24</v>
      </c>
      <c r="O58" s="189">
        <f>N58*$H$36</f>
        <v>152</v>
      </c>
      <c r="P58" s="188">
        <f>'Proyección de ventas'!O43</f>
        <v>24</v>
      </c>
      <c r="Q58" s="189">
        <f>P58*$H$36</f>
        <v>152</v>
      </c>
      <c r="R58" s="188">
        <f>'Proyección de ventas'!Q43</f>
        <v>24</v>
      </c>
      <c r="S58" s="189">
        <f>R58*$H$36</f>
        <v>152</v>
      </c>
      <c r="T58" s="188">
        <f>'Proyección de ventas'!S43</f>
        <v>24</v>
      </c>
      <c r="U58" s="189">
        <f>T58*$H$36</f>
        <v>152</v>
      </c>
      <c r="V58" s="188">
        <f>'Proyección de ventas'!U43</f>
        <v>24</v>
      </c>
      <c r="W58" s="189">
        <f>V58*$H$36</f>
        <v>152</v>
      </c>
      <c r="X58" s="188">
        <f>'Proyección de ventas'!W43</f>
        <v>24</v>
      </c>
      <c r="Y58" s="189">
        <f>X58*$H$36</f>
        <v>152</v>
      </c>
      <c r="Z58" s="188">
        <f>'Proyección de ventas'!Y43</f>
        <v>30</v>
      </c>
      <c r="AA58" s="189">
        <f>Z58*$H$36</f>
        <v>190</v>
      </c>
      <c r="AB58" s="188">
        <f>'Proyección de ventas'!AA43</f>
        <v>30</v>
      </c>
      <c r="AC58" s="189">
        <f>AB58*$H$36</f>
        <v>190</v>
      </c>
    </row>
    <row r="59" spans="4:29" ht="15.6" x14ac:dyDescent="0.3">
      <c r="D59" s="194" t="s">
        <v>462</v>
      </c>
      <c r="E59" s="195" t="str">
        <f>Hipótesis!B33</f>
        <v>Personalizada</v>
      </c>
      <c r="F59" s="188">
        <f>'Proyección de ventas'!E45</f>
        <v>16</v>
      </c>
      <c r="G59" s="189">
        <f>F59*$H$47</f>
        <v>102.66666666666667</v>
      </c>
      <c r="H59" s="188">
        <f>'Proyección de ventas'!G45</f>
        <v>16</v>
      </c>
      <c r="I59" s="189">
        <f>H59*$H$47</f>
        <v>102.66666666666667</v>
      </c>
      <c r="J59" s="188">
        <f>'Proyección de ventas'!I45</f>
        <v>16</v>
      </c>
      <c r="K59" s="189">
        <f>J59*$H$47</f>
        <v>102.66666666666667</v>
      </c>
      <c r="L59" s="188">
        <f>'Proyección de ventas'!K45</f>
        <v>16</v>
      </c>
      <c r="M59" s="189">
        <f>L59*$H$47</f>
        <v>102.66666666666667</v>
      </c>
      <c r="N59" s="188">
        <f>'Proyección de ventas'!M45</f>
        <v>16</v>
      </c>
      <c r="O59" s="189">
        <f>N59*$H$47</f>
        <v>102.66666666666667</v>
      </c>
      <c r="P59" s="188">
        <f>'Proyección de ventas'!O45</f>
        <v>16</v>
      </c>
      <c r="Q59" s="189">
        <f>P59*$H$47</f>
        <v>102.66666666666667</v>
      </c>
      <c r="R59" s="188">
        <f>'Proyección de ventas'!Q45</f>
        <v>16</v>
      </c>
      <c r="S59" s="189">
        <f>R59*$H$47</f>
        <v>102.66666666666667</v>
      </c>
      <c r="T59" s="188">
        <f>'Proyección de ventas'!S45</f>
        <v>16</v>
      </c>
      <c r="U59" s="189">
        <f>T59*$H$47</f>
        <v>102.66666666666667</v>
      </c>
      <c r="V59" s="188">
        <f>'Proyección de ventas'!U45</f>
        <v>16</v>
      </c>
      <c r="W59" s="189">
        <f>V59*$H$47</f>
        <v>102.66666666666667</v>
      </c>
      <c r="X59" s="188">
        <f>'Proyección de ventas'!W45</f>
        <v>16</v>
      </c>
      <c r="Y59" s="189">
        <f>X59*$H$47</f>
        <v>102.66666666666667</v>
      </c>
      <c r="Z59" s="188">
        <f>'Proyección de ventas'!Y45</f>
        <v>20</v>
      </c>
      <c r="AA59" s="189">
        <f>Z59*$H$47</f>
        <v>128.33333333333334</v>
      </c>
      <c r="AB59" s="188">
        <f>'Proyección de ventas'!AA45</f>
        <v>20</v>
      </c>
      <c r="AC59" s="189">
        <f>AB59*$H$47</f>
        <v>128.33333333333334</v>
      </c>
    </row>
    <row r="60" spans="4:29" ht="18" customHeight="1" thickBot="1" x14ac:dyDescent="0.35">
      <c r="D60" s="802" t="s">
        <v>210</v>
      </c>
      <c r="E60" s="803"/>
      <c r="F60" s="190">
        <f>SUM(F56:F59)</f>
        <v>112</v>
      </c>
      <c r="G60" s="196">
        <f>SUM(G56:G59)</f>
        <v>641.66666666666663</v>
      </c>
      <c r="H60" s="190">
        <f>SUM(H56:H59)</f>
        <v>112</v>
      </c>
      <c r="I60" s="196">
        <f>SUM(I56:I59)</f>
        <v>641.66666666666663</v>
      </c>
      <c r="J60" s="190">
        <f>SUM(J56:J59)</f>
        <v>112</v>
      </c>
      <c r="K60" s="196">
        <f>SUM(K56:K59)</f>
        <v>641.66666666666663</v>
      </c>
      <c r="L60" s="190">
        <f>SUM(L56:L59)</f>
        <v>112</v>
      </c>
      <c r="M60" s="196">
        <f>SUM(M56:M59)</f>
        <v>641.66666666666663</v>
      </c>
      <c r="N60" s="190">
        <f>SUM(N56:N59)</f>
        <v>112</v>
      </c>
      <c r="O60" s="196">
        <f>SUM(O56:O59)</f>
        <v>641.66666666666663</v>
      </c>
      <c r="P60" s="190">
        <f>SUM(P56:P59)</f>
        <v>112</v>
      </c>
      <c r="Q60" s="196">
        <f>SUM(Q56:Q59)</f>
        <v>641.66666666666663</v>
      </c>
      <c r="R60" s="190">
        <f>SUM(R56:R59)</f>
        <v>112</v>
      </c>
      <c r="S60" s="196">
        <f>SUM(S56:S59)</f>
        <v>641.66666666666663</v>
      </c>
      <c r="T60" s="190">
        <f>SUM(T56:T59)</f>
        <v>112</v>
      </c>
      <c r="U60" s="196">
        <f>SUM(U56:U59)</f>
        <v>641.66666666666663</v>
      </c>
      <c r="V60" s="190">
        <f>SUM(V56:V59)</f>
        <v>112</v>
      </c>
      <c r="W60" s="196">
        <f>SUM(W56:W59)</f>
        <v>641.66666666666663</v>
      </c>
      <c r="X60" s="190">
        <f>SUM(X56:X59)</f>
        <v>112</v>
      </c>
      <c r="Y60" s="196">
        <f>SUM(Y56:Y59)</f>
        <v>641.66666666666663</v>
      </c>
      <c r="Z60" s="190">
        <f>SUM(Z56:Z59)</f>
        <v>140</v>
      </c>
      <c r="AA60" s="196">
        <f>SUM(AA56:AA59)</f>
        <v>802.08333333333337</v>
      </c>
      <c r="AB60" s="190">
        <f>SUM(AB56:AB59)</f>
        <v>140</v>
      </c>
      <c r="AC60" s="196">
        <f>SUM(AC56:AC59)</f>
        <v>802.08333333333337</v>
      </c>
    </row>
    <row r="61" spans="4:29" ht="15" thickTop="1" x14ac:dyDescent="0.3"/>
    <row r="62" spans="4:29" ht="15" thickBot="1" x14ac:dyDescent="0.35"/>
    <row r="63" spans="4:29" ht="27" thickTop="1" thickBot="1" x14ac:dyDescent="0.55000000000000004">
      <c r="D63" s="774" t="s">
        <v>185</v>
      </c>
      <c r="E63" s="775"/>
      <c r="F63" s="775"/>
      <c r="G63" s="775"/>
      <c r="H63" s="776"/>
      <c r="I63" s="25"/>
      <c r="J63" s="25"/>
      <c r="K63" s="25"/>
      <c r="L63" s="25"/>
      <c r="M63" s="25"/>
      <c r="N63" s="25"/>
      <c r="O63" s="25"/>
      <c r="P63" s="25"/>
      <c r="Q63" s="25"/>
      <c r="R63" s="25"/>
      <c r="S63" s="25"/>
      <c r="T63" s="25"/>
      <c r="U63" s="25"/>
      <c r="V63" s="25"/>
      <c r="W63" s="25"/>
      <c r="X63" s="25"/>
      <c r="Y63" s="25"/>
      <c r="Z63" s="25"/>
      <c r="AA63" s="25"/>
      <c r="AB63" s="25"/>
      <c r="AC63" s="25"/>
    </row>
    <row r="64" spans="4:29" ht="15" thickTop="1" x14ac:dyDescent="0.3">
      <c r="D64" s="798" t="s">
        <v>206</v>
      </c>
      <c r="E64" s="799"/>
      <c r="F64" s="794" t="s">
        <v>28</v>
      </c>
      <c r="G64" s="795"/>
      <c r="H64" s="794" t="s">
        <v>29</v>
      </c>
      <c r="I64" s="795"/>
      <c r="J64" s="794" t="s">
        <v>30</v>
      </c>
      <c r="K64" s="795"/>
      <c r="L64" s="794" t="s">
        <v>31</v>
      </c>
      <c r="M64" s="795"/>
      <c r="N64" s="794" t="s">
        <v>32</v>
      </c>
      <c r="O64" s="795"/>
      <c r="P64" s="794" t="s">
        <v>33</v>
      </c>
      <c r="Q64" s="795"/>
      <c r="R64" s="794" t="s">
        <v>34</v>
      </c>
      <c r="S64" s="795"/>
      <c r="T64" s="794" t="s">
        <v>35</v>
      </c>
      <c r="U64" s="795"/>
      <c r="V64" s="794" t="s">
        <v>36</v>
      </c>
      <c r="W64" s="795"/>
      <c r="X64" s="794" t="s">
        <v>37</v>
      </c>
      <c r="Y64" s="795"/>
      <c r="Z64" s="794" t="s">
        <v>38</v>
      </c>
      <c r="AA64" s="795"/>
      <c r="AB64" s="794" t="s">
        <v>39</v>
      </c>
      <c r="AC64" s="795"/>
    </row>
    <row r="65" spans="4:29" ht="28.8" x14ac:dyDescent="0.3">
      <c r="D65" s="800"/>
      <c r="E65" s="801"/>
      <c r="F65" s="186" t="s">
        <v>186</v>
      </c>
      <c r="G65" s="187" t="s">
        <v>187</v>
      </c>
      <c r="H65" s="186" t="s">
        <v>186</v>
      </c>
      <c r="I65" s="187" t="s">
        <v>188</v>
      </c>
      <c r="J65" s="186" t="s">
        <v>186</v>
      </c>
      <c r="K65" s="187" t="s">
        <v>187</v>
      </c>
      <c r="L65" s="186" t="s">
        <v>186</v>
      </c>
      <c r="M65" s="187" t="s">
        <v>188</v>
      </c>
      <c r="N65" s="186" t="s">
        <v>186</v>
      </c>
      <c r="O65" s="187" t="s">
        <v>187</v>
      </c>
      <c r="P65" s="186" t="s">
        <v>186</v>
      </c>
      <c r="Q65" s="187" t="s">
        <v>187</v>
      </c>
      <c r="R65" s="186" t="s">
        <v>186</v>
      </c>
      <c r="S65" s="187" t="s">
        <v>187</v>
      </c>
      <c r="T65" s="186" t="s">
        <v>186</v>
      </c>
      <c r="U65" s="187" t="s">
        <v>187</v>
      </c>
      <c r="V65" s="186" t="s">
        <v>186</v>
      </c>
      <c r="W65" s="187" t="s">
        <v>187</v>
      </c>
      <c r="X65" s="186" t="s">
        <v>186</v>
      </c>
      <c r="Y65" s="187" t="s">
        <v>187</v>
      </c>
      <c r="Z65" s="186" t="s">
        <v>186</v>
      </c>
      <c r="AA65" s="187" t="s">
        <v>187</v>
      </c>
      <c r="AB65" s="186" t="s">
        <v>186</v>
      </c>
      <c r="AC65" s="187" t="s">
        <v>187</v>
      </c>
    </row>
    <row r="66" spans="4:29" ht="15.6" x14ac:dyDescent="0.3">
      <c r="D66" s="796" t="s">
        <v>209</v>
      </c>
      <c r="E66" s="191" t="str">
        <f>Hipótesis!B30</f>
        <v>Dada</v>
      </c>
      <c r="F66" s="188">
        <f>'Proyección de ventas'!E91</f>
        <v>80</v>
      </c>
      <c r="G66" s="189">
        <f>F66*$H$25</f>
        <v>430</v>
      </c>
      <c r="H66" s="188">
        <f>'Proyección de ventas'!G91</f>
        <v>80</v>
      </c>
      <c r="I66" s="189">
        <f>H66*$H$25</f>
        <v>430</v>
      </c>
      <c r="J66" s="188">
        <f>'Proyección de ventas'!I91</f>
        <v>80</v>
      </c>
      <c r="K66" s="189">
        <f>J66*$H$25</f>
        <v>430</v>
      </c>
      <c r="L66" s="188">
        <f>'Proyección de ventas'!K91</f>
        <v>80</v>
      </c>
      <c r="M66" s="189">
        <f>L66*$H$25</f>
        <v>430</v>
      </c>
      <c r="N66" s="188">
        <f>'Proyección de ventas'!M91</f>
        <v>80</v>
      </c>
      <c r="O66" s="189">
        <f>N66*$H$25</f>
        <v>430</v>
      </c>
      <c r="P66" s="188">
        <f>'Proyección de ventas'!O91</f>
        <v>80</v>
      </c>
      <c r="Q66" s="189">
        <f>P66*$H$25</f>
        <v>430</v>
      </c>
      <c r="R66" s="188">
        <f>'Proyección de ventas'!Q91</f>
        <v>80</v>
      </c>
      <c r="S66" s="189">
        <f>R66*$H$25</f>
        <v>430</v>
      </c>
      <c r="T66" s="188">
        <f>'Proyección de ventas'!S91</f>
        <v>80</v>
      </c>
      <c r="U66" s="189">
        <f>T66*$H$25</f>
        <v>430</v>
      </c>
      <c r="V66" s="188">
        <f>'Proyección de ventas'!U91</f>
        <v>80</v>
      </c>
      <c r="W66" s="189">
        <f>V66*$H$25</f>
        <v>430</v>
      </c>
      <c r="X66" s="188">
        <f>'Proyección de ventas'!W91</f>
        <v>80</v>
      </c>
      <c r="Y66" s="189">
        <f>X66*$H$25</f>
        <v>430</v>
      </c>
      <c r="Z66" s="188">
        <f>'Proyección de ventas'!Y91</f>
        <v>100</v>
      </c>
      <c r="AA66" s="189">
        <f>Z66*$H$25</f>
        <v>537.5</v>
      </c>
      <c r="AB66" s="188">
        <f>'Proyección de ventas'!AA91</f>
        <v>100</v>
      </c>
      <c r="AC66" s="189">
        <f>AB66*$H$25</f>
        <v>537.5</v>
      </c>
    </row>
    <row r="67" spans="4:29" ht="15.6" x14ac:dyDescent="0.3">
      <c r="D67" s="797"/>
      <c r="E67" s="191" t="str">
        <f>Hipótesis!B31</f>
        <v>Gretel</v>
      </c>
      <c r="F67" s="188">
        <f>'Proyección de ventas'!E92</f>
        <v>64</v>
      </c>
      <c r="G67" s="189">
        <f>F67*$H$25</f>
        <v>344</v>
      </c>
      <c r="H67" s="188">
        <f>'Proyección de ventas'!G92</f>
        <v>64</v>
      </c>
      <c r="I67" s="189">
        <f>H67*$H$25</f>
        <v>344</v>
      </c>
      <c r="J67" s="188">
        <f>'Proyección de ventas'!I92</f>
        <v>64</v>
      </c>
      <c r="K67" s="189">
        <f>J67*$H$25</f>
        <v>344</v>
      </c>
      <c r="L67" s="188">
        <f>'Proyección de ventas'!K92</f>
        <v>64</v>
      </c>
      <c r="M67" s="189">
        <f>L67*$H$25</f>
        <v>344</v>
      </c>
      <c r="N67" s="188">
        <f>'Proyección de ventas'!M92</f>
        <v>64</v>
      </c>
      <c r="O67" s="189">
        <f>N67*$H$25</f>
        <v>344</v>
      </c>
      <c r="P67" s="188">
        <f>'Proyección de ventas'!O92</f>
        <v>64</v>
      </c>
      <c r="Q67" s="189">
        <f>P67*$H$25</f>
        <v>344</v>
      </c>
      <c r="R67" s="188">
        <f>'Proyección de ventas'!Q92</f>
        <v>64</v>
      </c>
      <c r="S67" s="189">
        <f>R67*$H$25</f>
        <v>344</v>
      </c>
      <c r="T67" s="188">
        <f>'Proyección de ventas'!S92</f>
        <v>64</v>
      </c>
      <c r="U67" s="189">
        <f>T67*$H$25</f>
        <v>344</v>
      </c>
      <c r="V67" s="188">
        <f>'Proyección de ventas'!U92</f>
        <v>64</v>
      </c>
      <c r="W67" s="189">
        <f>V67*$H$25</f>
        <v>344</v>
      </c>
      <c r="X67" s="188">
        <f>'Proyección de ventas'!W92</f>
        <v>64</v>
      </c>
      <c r="Y67" s="189">
        <f>X67*$H$25</f>
        <v>344</v>
      </c>
      <c r="Z67" s="188">
        <f>'Proyección de ventas'!Y92</f>
        <v>80</v>
      </c>
      <c r="AA67" s="189">
        <f>Z67*$H$25</f>
        <v>430</v>
      </c>
      <c r="AB67" s="188">
        <f>'Proyección de ventas'!AA92</f>
        <v>80</v>
      </c>
      <c r="AC67" s="189">
        <f>AB67*$H$25</f>
        <v>430</v>
      </c>
    </row>
    <row r="68" spans="4:29" ht="15.6" x14ac:dyDescent="0.3">
      <c r="D68" s="192" t="s">
        <v>461</v>
      </c>
      <c r="E68" s="193" t="str">
        <f>Hipótesis!B32</f>
        <v>Monkey</v>
      </c>
      <c r="F68" s="188">
        <f>'Proyección de ventas'!E94</f>
        <v>48</v>
      </c>
      <c r="G68" s="189">
        <f>F68*$H$36</f>
        <v>304</v>
      </c>
      <c r="H68" s="188">
        <f>'Proyección de ventas'!G94</f>
        <v>48</v>
      </c>
      <c r="I68" s="189">
        <f>H68*$H$36</f>
        <v>304</v>
      </c>
      <c r="J68" s="188">
        <f>'Proyección de ventas'!I94</f>
        <v>48</v>
      </c>
      <c r="K68" s="189">
        <f>J68*$H$36</f>
        <v>304</v>
      </c>
      <c r="L68" s="188">
        <f>'Proyección de ventas'!K94</f>
        <v>48</v>
      </c>
      <c r="M68" s="189">
        <f>L68*$H$36</f>
        <v>304</v>
      </c>
      <c r="N68" s="188">
        <f>'Proyección de ventas'!M94</f>
        <v>48</v>
      </c>
      <c r="O68" s="189">
        <f>N68*$H$36</f>
        <v>304</v>
      </c>
      <c r="P68" s="188">
        <f>'Proyección de ventas'!O94</f>
        <v>48</v>
      </c>
      <c r="Q68" s="189">
        <f>P68*$H$36</f>
        <v>304</v>
      </c>
      <c r="R68" s="188">
        <f>'Proyección de ventas'!Q94</f>
        <v>48</v>
      </c>
      <c r="S68" s="189">
        <f>R68*$H$36</f>
        <v>304</v>
      </c>
      <c r="T68" s="188">
        <f>'Proyección de ventas'!S94</f>
        <v>48</v>
      </c>
      <c r="U68" s="189">
        <f>T68*$H$36</f>
        <v>304</v>
      </c>
      <c r="V68" s="188">
        <f>'Proyección de ventas'!U94</f>
        <v>48</v>
      </c>
      <c r="W68" s="189">
        <f>V68*$H$36</f>
        <v>304</v>
      </c>
      <c r="X68" s="188">
        <f>'Proyección de ventas'!W94</f>
        <v>48</v>
      </c>
      <c r="Y68" s="189">
        <f>X68*$H$36</f>
        <v>304</v>
      </c>
      <c r="Z68" s="188">
        <f>'Proyección de ventas'!Y94</f>
        <v>60</v>
      </c>
      <c r="AA68" s="189">
        <f>Z68*$H$36</f>
        <v>380</v>
      </c>
      <c r="AB68" s="188">
        <f>'Proyección de ventas'!AA94</f>
        <v>60</v>
      </c>
      <c r="AC68" s="189">
        <f>AB68*$H$36</f>
        <v>380</v>
      </c>
    </row>
    <row r="69" spans="4:29" ht="15.6" x14ac:dyDescent="0.3">
      <c r="D69" s="194" t="s">
        <v>462</v>
      </c>
      <c r="E69" s="195" t="str">
        <f>Hipótesis!B33</f>
        <v>Personalizada</v>
      </c>
      <c r="F69" s="188">
        <f>'Proyección de ventas'!E96</f>
        <v>32</v>
      </c>
      <c r="G69" s="189">
        <f>F69*$H$47</f>
        <v>205.33333333333334</v>
      </c>
      <c r="H69" s="188">
        <f>'Proyección de ventas'!G96</f>
        <v>32</v>
      </c>
      <c r="I69" s="189">
        <f>H69*$H$47</f>
        <v>205.33333333333334</v>
      </c>
      <c r="J69" s="188">
        <f>'Proyección de ventas'!I96</f>
        <v>32</v>
      </c>
      <c r="K69" s="189">
        <f>J69*$H$47</f>
        <v>205.33333333333334</v>
      </c>
      <c r="L69" s="188">
        <f>'Proyección de ventas'!K96</f>
        <v>32</v>
      </c>
      <c r="M69" s="189">
        <f>L69*$H$47</f>
        <v>205.33333333333334</v>
      </c>
      <c r="N69" s="188">
        <f>'Proyección de ventas'!M96</f>
        <v>32</v>
      </c>
      <c r="O69" s="189">
        <f>N69*$H$47</f>
        <v>205.33333333333334</v>
      </c>
      <c r="P69" s="188">
        <f>'Proyección de ventas'!O96</f>
        <v>32</v>
      </c>
      <c r="Q69" s="189">
        <f>P69*$H$47</f>
        <v>205.33333333333334</v>
      </c>
      <c r="R69" s="188">
        <f>'Proyección de ventas'!Q96</f>
        <v>32</v>
      </c>
      <c r="S69" s="189">
        <f>R69*$H$47</f>
        <v>205.33333333333334</v>
      </c>
      <c r="T69" s="188">
        <f>'Proyección de ventas'!S96</f>
        <v>32</v>
      </c>
      <c r="U69" s="189">
        <f>T69*$H$47</f>
        <v>205.33333333333334</v>
      </c>
      <c r="V69" s="188">
        <f>'Proyección de ventas'!U96</f>
        <v>32</v>
      </c>
      <c r="W69" s="189">
        <f>V69*$H$47</f>
        <v>205.33333333333334</v>
      </c>
      <c r="X69" s="188">
        <f>'Proyección de ventas'!W96</f>
        <v>32</v>
      </c>
      <c r="Y69" s="189">
        <f>X69*$H$47</f>
        <v>205.33333333333334</v>
      </c>
      <c r="Z69" s="188">
        <f>'Proyección de ventas'!Y96</f>
        <v>40</v>
      </c>
      <c r="AA69" s="189">
        <f>Z69*$H$47</f>
        <v>256.66666666666669</v>
      </c>
      <c r="AB69" s="188">
        <f>'Proyección de ventas'!AA96</f>
        <v>40</v>
      </c>
      <c r="AC69" s="189">
        <f>AB69*$H$47</f>
        <v>256.66666666666669</v>
      </c>
    </row>
    <row r="70" spans="4:29" ht="16.2" thickBot="1" x14ac:dyDescent="0.35">
      <c r="D70" s="802" t="s">
        <v>211</v>
      </c>
      <c r="E70" s="803"/>
      <c r="F70" s="190">
        <f>SUM(F66:F69)</f>
        <v>224</v>
      </c>
      <c r="G70" s="196">
        <f>SUM(G66:G69)</f>
        <v>1283.3333333333333</v>
      </c>
      <c r="H70" s="190">
        <f>SUM(H66:H69)</f>
        <v>224</v>
      </c>
      <c r="I70" s="196">
        <f>SUM(I66:I69)</f>
        <v>1283.3333333333333</v>
      </c>
      <c r="J70" s="190">
        <f>SUM(J66:J69)</f>
        <v>224</v>
      </c>
      <c r="K70" s="196">
        <f>SUM(K66:K69)</f>
        <v>1283.3333333333333</v>
      </c>
      <c r="L70" s="190">
        <f>SUM(L66:L69)</f>
        <v>224</v>
      </c>
      <c r="M70" s="196">
        <f>SUM(M66:M69)</f>
        <v>1283.3333333333333</v>
      </c>
      <c r="N70" s="190">
        <f>SUM(N66:N69)</f>
        <v>224</v>
      </c>
      <c r="O70" s="196">
        <f>SUM(O66:O69)</f>
        <v>1283.3333333333333</v>
      </c>
      <c r="P70" s="190">
        <f>SUM(P66:P69)</f>
        <v>224</v>
      </c>
      <c r="Q70" s="196">
        <f>SUM(Q66:Q69)</f>
        <v>1283.3333333333333</v>
      </c>
      <c r="R70" s="190">
        <f>SUM(R66:R69)</f>
        <v>224</v>
      </c>
      <c r="S70" s="196">
        <f>SUM(S66:S69)</f>
        <v>1283.3333333333333</v>
      </c>
      <c r="T70" s="190">
        <f>SUM(T66:T69)</f>
        <v>224</v>
      </c>
      <c r="U70" s="196">
        <f>SUM(U66:U69)</f>
        <v>1283.3333333333333</v>
      </c>
      <c r="V70" s="190">
        <f>SUM(V66:V69)</f>
        <v>224</v>
      </c>
      <c r="W70" s="196">
        <f>SUM(W66:W69)</f>
        <v>1283.3333333333333</v>
      </c>
      <c r="X70" s="190">
        <f>SUM(X66:X69)</f>
        <v>224</v>
      </c>
      <c r="Y70" s="196">
        <f>SUM(Y66:Y69)</f>
        <v>1283.3333333333333</v>
      </c>
      <c r="Z70" s="190">
        <f>SUM(Z66:Z69)</f>
        <v>280</v>
      </c>
      <c r="AA70" s="196">
        <f>SUM(AA66:AA69)</f>
        <v>1604.1666666666667</v>
      </c>
      <c r="AB70" s="190">
        <f>SUM(AB66:AB69)</f>
        <v>280</v>
      </c>
      <c r="AC70" s="196">
        <f>SUM(AC66:AC69)</f>
        <v>1604.1666666666667</v>
      </c>
    </row>
    <row r="71" spans="4:29" ht="15.6" thickTop="1" thickBot="1" x14ac:dyDescent="0.35"/>
    <row r="72" spans="4:29" ht="27" thickTop="1" thickBot="1" x14ac:dyDescent="0.55000000000000004">
      <c r="D72" s="774" t="s">
        <v>185</v>
      </c>
      <c r="E72" s="775"/>
      <c r="F72" s="775"/>
      <c r="G72" s="775"/>
      <c r="H72" s="776"/>
      <c r="I72" s="25"/>
      <c r="J72" s="25"/>
      <c r="K72" s="25"/>
      <c r="L72" s="25"/>
      <c r="M72" s="25"/>
      <c r="N72" s="25"/>
      <c r="O72" s="25"/>
      <c r="P72" s="25"/>
      <c r="Q72" s="25"/>
      <c r="R72" s="25"/>
      <c r="S72" s="25"/>
      <c r="T72" s="25"/>
      <c r="U72" s="25"/>
      <c r="V72" s="25"/>
      <c r="W72" s="25"/>
      <c r="X72" s="25"/>
      <c r="Y72" s="25"/>
      <c r="Z72" s="25"/>
      <c r="AA72" s="25"/>
      <c r="AB72" s="25"/>
      <c r="AC72" s="25"/>
    </row>
    <row r="73" spans="4:29" ht="15" thickTop="1" x14ac:dyDescent="0.3">
      <c r="D73" s="798" t="s">
        <v>459</v>
      </c>
      <c r="E73" s="799"/>
      <c r="F73" s="794" t="s">
        <v>28</v>
      </c>
      <c r="G73" s="795"/>
      <c r="H73" s="794" t="s">
        <v>29</v>
      </c>
      <c r="I73" s="795"/>
      <c r="J73" s="794" t="s">
        <v>30</v>
      </c>
      <c r="K73" s="795"/>
      <c r="L73" s="794" t="s">
        <v>31</v>
      </c>
      <c r="M73" s="795"/>
      <c r="N73" s="794" t="s">
        <v>32</v>
      </c>
      <c r="O73" s="795"/>
      <c r="P73" s="794" t="s">
        <v>33</v>
      </c>
      <c r="Q73" s="795"/>
      <c r="R73" s="794" t="s">
        <v>34</v>
      </c>
      <c r="S73" s="795"/>
      <c r="T73" s="794" t="s">
        <v>35</v>
      </c>
      <c r="U73" s="795"/>
      <c r="V73" s="794" t="s">
        <v>36</v>
      </c>
      <c r="W73" s="795"/>
      <c r="X73" s="794" t="s">
        <v>37</v>
      </c>
      <c r="Y73" s="795"/>
      <c r="Z73" s="794" t="s">
        <v>38</v>
      </c>
      <c r="AA73" s="795"/>
      <c r="AB73" s="794" t="s">
        <v>39</v>
      </c>
      <c r="AC73" s="795"/>
    </row>
    <row r="74" spans="4:29" ht="28.8" x14ac:dyDescent="0.3">
      <c r="D74" s="800"/>
      <c r="E74" s="801"/>
      <c r="F74" s="186" t="s">
        <v>186</v>
      </c>
      <c r="G74" s="187" t="s">
        <v>187</v>
      </c>
      <c r="H74" s="186" t="s">
        <v>186</v>
      </c>
      <c r="I74" s="187" t="s">
        <v>188</v>
      </c>
      <c r="J74" s="186" t="s">
        <v>186</v>
      </c>
      <c r="K74" s="187" t="s">
        <v>187</v>
      </c>
      <c r="L74" s="186" t="s">
        <v>186</v>
      </c>
      <c r="M74" s="187" t="s">
        <v>188</v>
      </c>
      <c r="N74" s="186" t="s">
        <v>186</v>
      </c>
      <c r="O74" s="187" t="s">
        <v>187</v>
      </c>
      <c r="P74" s="186" t="s">
        <v>186</v>
      </c>
      <c r="Q74" s="187" t="s">
        <v>187</v>
      </c>
      <c r="R74" s="186" t="s">
        <v>186</v>
      </c>
      <c r="S74" s="187" t="s">
        <v>187</v>
      </c>
      <c r="T74" s="186" t="s">
        <v>186</v>
      </c>
      <c r="U74" s="187" t="s">
        <v>187</v>
      </c>
      <c r="V74" s="186" t="s">
        <v>186</v>
      </c>
      <c r="W74" s="187" t="s">
        <v>187</v>
      </c>
      <c r="X74" s="186" t="s">
        <v>186</v>
      </c>
      <c r="Y74" s="187" t="s">
        <v>187</v>
      </c>
      <c r="Z74" s="186" t="s">
        <v>186</v>
      </c>
      <c r="AA74" s="187" t="s">
        <v>187</v>
      </c>
      <c r="AB74" s="186" t="s">
        <v>186</v>
      </c>
      <c r="AC74" s="187" t="s">
        <v>187</v>
      </c>
    </row>
    <row r="75" spans="4:29" ht="15.6" x14ac:dyDescent="0.3">
      <c r="D75" s="796" t="s">
        <v>209</v>
      </c>
      <c r="E75" s="191" t="str">
        <f>Hipótesis!B30</f>
        <v>Dada</v>
      </c>
      <c r="F75" s="188">
        <f>'Proyección de ventas'!E143</f>
        <v>112</v>
      </c>
      <c r="G75" s="189">
        <f>F75*$H$25</f>
        <v>602</v>
      </c>
      <c r="H75" s="188">
        <f>'Proyección de ventas'!G143</f>
        <v>112</v>
      </c>
      <c r="I75" s="189">
        <f>H75*$H$25</f>
        <v>602</v>
      </c>
      <c r="J75" s="188">
        <f>'Proyección de ventas'!I143</f>
        <v>112</v>
      </c>
      <c r="K75" s="189">
        <f>J75*$H$25</f>
        <v>602</v>
      </c>
      <c r="L75" s="188">
        <f>'Proyección de ventas'!K143</f>
        <v>112</v>
      </c>
      <c r="M75" s="189">
        <f>L75*$H$25</f>
        <v>602</v>
      </c>
      <c r="N75" s="188">
        <f>'Proyección de ventas'!M143</f>
        <v>112</v>
      </c>
      <c r="O75" s="189">
        <f>N75*$H$25</f>
        <v>602</v>
      </c>
      <c r="P75" s="188">
        <f>'Proyección de ventas'!O143</f>
        <v>112</v>
      </c>
      <c r="Q75" s="189">
        <f>P75*$H$25</f>
        <v>602</v>
      </c>
      <c r="R75" s="188">
        <f>'Proyección de ventas'!Q143</f>
        <v>112</v>
      </c>
      <c r="S75" s="189">
        <f>R75*$H$25</f>
        <v>602</v>
      </c>
      <c r="T75" s="188">
        <f>'Proyección de ventas'!S143</f>
        <v>112</v>
      </c>
      <c r="U75" s="189">
        <f>T75*$H$25</f>
        <v>602</v>
      </c>
      <c r="V75" s="188">
        <f>'Proyección de ventas'!U143</f>
        <v>112</v>
      </c>
      <c r="W75" s="189">
        <f>V75*$H$25</f>
        <v>602</v>
      </c>
      <c r="X75" s="188">
        <f>'Proyección de ventas'!W143</f>
        <v>112</v>
      </c>
      <c r="Y75" s="189">
        <f>X75*$H$25</f>
        <v>602</v>
      </c>
      <c r="Z75" s="188">
        <f>'Proyección de ventas'!Y143</f>
        <v>140</v>
      </c>
      <c r="AA75" s="189">
        <f>Z75*$H$25</f>
        <v>752.5</v>
      </c>
      <c r="AB75" s="188">
        <f>'Proyección de ventas'!AA143</f>
        <v>140</v>
      </c>
      <c r="AC75" s="189">
        <f>AB75*$H$25</f>
        <v>752.5</v>
      </c>
    </row>
    <row r="76" spans="4:29" ht="15.6" x14ac:dyDescent="0.3">
      <c r="D76" s="797"/>
      <c r="E76" s="191" t="str">
        <f>Hipótesis!B31</f>
        <v>Gretel</v>
      </c>
      <c r="F76" s="188">
        <f>'Proyección de ventas'!E144</f>
        <v>96</v>
      </c>
      <c r="G76" s="189">
        <f>F76*$H$25</f>
        <v>516</v>
      </c>
      <c r="H76" s="188">
        <f>'Proyección de ventas'!G144</f>
        <v>96</v>
      </c>
      <c r="I76" s="189">
        <f>H76*$H$25</f>
        <v>516</v>
      </c>
      <c r="J76" s="188">
        <f>'Proyección de ventas'!I144</f>
        <v>96</v>
      </c>
      <c r="K76" s="189">
        <f>J76*$H$25</f>
        <v>516</v>
      </c>
      <c r="L76" s="188">
        <f>'Proyección de ventas'!K144</f>
        <v>96</v>
      </c>
      <c r="M76" s="189">
        <f>L76*$H$25</f>
        <v>516</v>
      </c>
      <c r="N76" s="188">
        <f>'Proyección de ventas'!M144</f>
        <v>96</v>
      </c>
      <c r="O76" s="189">
        <f>N76*$H$25</f>
        <v>516</v>
      </c>
      <c r="P76" s="188">
        <f>'Proyección de ventas'!O144</f>
        <v>96</v>
      </c>
      <c r="Q76" s="189">
        <f>P76*$H$25</f>
        <v>516</v>
      </c>
      <c r="R76" s="188">
        <f>'Proyección de ventas'!Q144</f>
        <v>96</v>
      </c>
      <c r="S76" s="189">
        <f>R76*$H$25</f>
        <v>516</v>
      </c>
      <c r="T76" s="188">
        <f>'Proyección de ventas'!S144</f>
        <v>96</v>
      </c>
      <c r="U76" s="189">
        <f>T76*$H$25</f>
        <v>516</v>
      </c>
      <c r="V76" s="188">
        <f>'Proyección de ventas'!U144</f>
        <v>96</v>
      </c>
      <c r="W76" s="189">
        <f>V76*$H$25</f>
        <v>516</v>
      </c>
      <c r="X76" s="188">
        <f>'Proyección de ventas'!W144</f>
        <v>96</v>
      </c>
      <c r="Y76" s="189">
        <f>X76*$H$25</f>
        <v>516</v>
      </c>
      <c r="Z76" s="188">
        <f>'Proyección de ventas'!Y144</f>
        <v>120</v>
      </c>
      <c r="AA76" s="189">
        <f>Z76*$H$25</f>
        <v>645</v>
      </c>
      <c r="AB76" s="188">
        <f>'Proyección de ventas'!AA144</f>
        <v>120</v>
      </c>
      <c r="AC76" s="189">
        <f>AB76*$H$25</f>
        <v>645</v>
      </c>
    </row>
    <row r="77" spans="4:29" ht="15.6" x14ac:dyDescent="0.3">
      <c r="D77" s="192" t="s">
        <v>461</v>
      </c>
      <c r="E77" s="193" t="str">
        <f>Hipótesis!B32</f>
        <v>Monkey</v>
      </c>
      <c r="F77" s="188">
        <f>'Proyección de ventas'!E146</f>
        <v>72</v>
      </c>
      <c r="G77" s="189">
        <f>F77*$H$36</f>
        <v>456</v>
      </c>
      <c r="H77" s="188">
        <f>'Proyección de ventas'!G146</f>
        <v>72</v>
      </c>
      <c r="I77" s="189">
        <f>H77*$H$36</f>
        <v>456</v>
      </c>
      <c r="J77" s="188">
        <f>'Proyección de ventas'!I146</f>
        <v>72</v>
      </c>
      <c r="K77" s="189">
        <f>J77*$H$36</f>
        <v>456</v>
      </c>
      <c r="L77" s="188">
        <f>'Proyección de ventas'!K146</f>
        <v>72</v>
      </c>
      <c r="M77" s="189">
        <f>L77*$H$36</f>
        <v>456</v>
      </c>
      <c r="N77" s="188">
        <f>'Proyección de ventas'!M146</f>
        <v>72</v>
      </c>
      <c r="O77" s="189">
        <f>N77*$H$36</f>
        <v>456</v>
      </c>
      <c r="P77" s="188">
        <f>'Proyección de ventas'!O146</f>
        <v>72</v>
      </c>
      <c r="Q77" s="189">
        <f>P77*$H$36</f>
        <v>456</v>
      </c>
      <c r="R77" s="188">
        <f>'Proyección de ventas'!Q146</f>
        <v>72</v>
      </c>
      <c r="S77" s="189">
        <f>R77*$H$36</f>
        <v>456</v>
      </c>
      <c r="T77" s="188">
        <f>'Proyección de ventas'!S146</f>
        <v>72</v>
      </c>
      <c r="U77" s="189">
        <f>T77*$H$36</f>
        <v>456</v>
      </c>
      <c r="V77" s="188">
        <f>'Proyección de ventas'!U146</f>
        <v>72</v>
      </c>
      <c r="W77" s="189">
        <f>V77*$H$36</f>
        <v>456</v>
      </c>
      <c r="X77" s="188">
        <f>'Proyección de ventas'!W146</f>
        <v>72</v>
      </c>
      <c r="Y77" s="189">
        <f>X77*$H$36</f>
        <v>456</v>
      </c>
      <c r="Z77" s="188">
        <f>'Proyección de ventas'!Y146</f>
        <v>90</v>
      </c>
      <c r="AA77" s="189">
        <f>Z77*$H$36</f>
        <v>570</v>
      </c>
      <c r="AB77" s="188">
        <f>'Proyección de ventas'!AA146</f>
        <v>90</v>
      </c>
      <c r="AC77" s="189">
        <f>AB77*$H$36</f>
        <v>570</v>
      </c>
    </row>
    <row r="78" spans="4:29" ht="15.6" x14ac:dyDescent="0.3">
      <c r="D78" s="194" t="s">
        <v>462</v>
      </c>
      <c r="E78" s="195" t="str">
        <f>Hipótesis!B33</f>
        <v>Personalizada</v>
      </c>
      <c r="F78" s="188">
        <f>'Proyección de ventas'!E148</f>
        <v>64</v>
      </c>
      <c r="G78" s="189">
        <f>F78*$H$47</f>
        <v>410.66666666666669</v>
      </c>
      <c r="H78" s="188">
        <f>'Proyección de ventas'!G148</f>
        <v>64</v>
      </c>
      <c r="I78" s="189">
        <f>H78*$H$47</f>
        <v>410.66666666666669</v>
      </c>
      <c r="J78" s="188">
        <f>'Proyección de ventas'!I148</f>
        <v>64</v>
      </c>
      <c r="K78" s="189">
        <f>J78*$H$47</f>
        <v>410.66666666666669</v>
      </c>
      <c r="L78" s="188">
        <f>'Proyección de ventas'!K148</f>
        <v>64</v>
      </c>
      <c r="M78" s="189">
        <f>L78*$H$47</f>
        <v>410.66666666666669</v>
      </c>
      <c r="N78" s="188">
        <f>'Proyección de ventas'!M148</f>
        <v>64</v>
      </c>
      <c r="O78" s="189">
        <f>N78*$H$47</f>
        <v>410.66666666666669</v>
      </c>
      <c r="P78" s="188">
        <f>'Proyección de ventas'!O148</f>
        <v>64</v>
      </c>
      <c r="Q78" s="189">
        <f>P78*$H$47</f>
        <v>410.66666666666669</v>
      </c>
      <c r="R78" s="188">
        <f>'Proyección de ventas'!Q148</f>
        <v>64</v>
      </c>
      <c r="S78" s="189">
        <f>R78*$H$47</f>
        <v>410.66666666666669</v>
      </c>
      <c r="T78" s="188">
        <f>'Proyección de ventas'!S148</f>
        <v>64</v>
      </c>
      <c r="U78" s="189">
        <f>T78*$H$47</f>
        <v>410.66666666666669</v>
      </c>
      <c r="V78" s="188">
        <f>'Proyección de ventas'!U148</f>
        <v>64</v>
      </c>
      <c r="W78" s="189">
        <f>V78*$H$47</f>
        <v>410.66666666666669</v>
      </c>
      <c r="X78" s="188">
        <f>'Proyección de ventas'!W148</f>
        <v>64</v>
      </c>
      <c r="Y78" s="189">
        <f>X78*$H$47</f>
        <v>410.66666666666669</v>
      </c>
      <c r="Z78" s="188">
        <f>'Proyección de ventas'!Y148</f>
        <v>80</v>
      </c>
      <c r="AA78" s="189">
        <f>Z78*$H$47</f>
        <v>513.33333333333337</v>
      </c>
      <c r="AB78" s="188">
        <f>'Proyección de ventas'!AA148</f>
        <v>80</v>
      </c>
      <c r="AC78" s="189">
        <f>AB78*$H$47</f>
        <v>513.33333333333337</v>
      </c>
    </row>
    <row r="79" spans="4:29" ht="16.2" thickBot="1" x14ac:dyDescent="0.35">
      <c r="D79" s="802" t="s">
        <v>460</v>
      </c>
      <c r="E79" s="803"/>
      <c r="F79" s="190">
        <f>SUM(F75:F78)</f>
        <v>344</v>
      </c>
      <c r="G79" s="196">
        <f>SUM(G75:G78)</f>
        <v>1984.6666666666667</v>
      </c>
      <c r="H79" s="190">
        <f>SUM(H75:H78)</f>
        <v>344</v>
      </c>
      <c r="I79" s="196">
        <f>SUM(I75:I78)</f>
        <v>1984.6666666666667</v>
      </c>
      <c r="J79" s="190">
        <f>SUM(J75:J78)</f>
        <v>344</v>
      </c>
      <c r="K79" s="196">
        <f>SUM(K75:K78)</f>
        <v>1984.6666666666667</v>
      </c>
      <c r="L79" s="190">
        <f>SUM(L75:L78)</f>
        <v>344</v>
      </c>
      <c r="M79" s="196">
        <f>SUM(M75:M78)</f>
        <v>1984.6666666666667</v>
      </c>
      <c r="N79" s="190">
        <f>SUM(N75:N78)</f>
        <v>344</v>
      </c>
      <c r="O79" s="196">
        <f>SUM(O75:O78)</f>
        <v>1984.6666666666667</v>
      </c>
      <c r="P79" s="190">
        <f>SUM(P75:P78)</f>
        <v>344</v>
      </c>
      <c r="Q79" s="196">
        <f>SUM(Q75:Q78)</f>
        <v>1984.6666666666667</v>
      </c>
      <c r="R79" s="190">
        <f>SUM(R75:R78)</f>
        <v>344</v>
      </c>
      <c r="S79" s="196">
        <f>SUM(S75:S78)</f>
        <v>1984.6666666666667</v>
      </c>
      <c r="T79" s="190">
        <f>SUM(T75:T78)</f>
        <v>344</v>
      </c>
      <c r="U79" s="196">
        <f>SUM(U75:U78)</f>
        <v>1984.6666666666667</v>
      </c>
      <c r="V79" s="190">
        <f>SUM(V75:V78)</f>
        <v>344</v>
      </c>
      <c r="W79" s="196">
        <f>SUM(W75:W78)</f>
        <v>1984.6666666666667</v>
      </c>
      <c r="X79" s="190">
        <f>SUM(X75:X78)</f>
        <v>344</v>
      </c>
      <c r="Y79" s="196">
        <f>SUM(Y75:Y78)</f>
        <v>1984.6666666666667</v>
      </c>
      <c r="Z79" s="190">
        <f>SUM(Z75:Z78)</f>
        <v>430</v>
      </c>
      <c r="AA79" s="196">
        <f>SUM(AA75:AA78)</f>
        <v>2480.8333333333335</v>
      </c>
      <c r="AB79" s="190">
        <f>SUM(AB75:AB78)</f>
        <v>430</v>
      </c>
      <c r="AC79" s="196">
        <f>SUM(AC75:AC78)</f>
        <v>2480.8333333333335</v>
      </c>
    </row>
    <row r="80" spans="4:29" ht="15" thickTop="1" x14ac:dyDescent="0.3"/>
  </sheetData>
  <mergeCells count="59">
    <mergeCell ref="D75:D76"/>
    <mergeCell ref="D79:E79"/>
    <mergeCell ref="T73:U73"/>
    <mergeCell ref="V73:W73"/>
    <mergeCell ref="X73:Y73"/>
    <mergeCell ref="Z73:AA73"/>
    <mergeCell ref="AB73:AC73"/>
    <mergeCell ref="J73:K73"/>
    <mergeCell ref="L73:M73"/>
    <mergeCell ref="N73:O73"/>
    <mergeCell ref="P73:Q73"/>
    <mergeCell ref="R73:S73"/>
    <mergeCell ref="D70:E70"/>
    <mergeCell ref="D72:H72"/>
    <mergeCell ref="D73:E74"/>
    <mergeCell ref="F73:G73"/>
    <mergeCell ref="H73:I73"/>
    <mergeCell ref="X64:Y64"/>
    <mergeCell ref="Z64:AA64"/>
    <mergeCell ref="AB64:AC64"/>
    <mergeCell ref="D66:D67"/>
    <mergeCell ref="N64:O64"/>
    <mergeCell ref="P64:Q64"/>
    <mergeCell ref="R64:S64"/>
    <mergeCell ref="T64:U64"/>
    <mergeCell ref="V64:W64"/>
    <mergeCell ref="D64:E65"/>
    <mergeCell ref="F64:G64"/>
    <mergeCell ref="H64:I64"/>
    <mergeCell ref="J64:K64"/>
    <mergeCell ref="L64:M64"/>
    <mergeCell ref="D60:E60"/>
    <mergeCell ref="D63:H63"/>
    <mergeCell ref="X54:Y54"/>
    <mergeCell ref="Z54:AA54"/>
    <mergeCell ref="AB54:AC54"/>
    <mergeCell ref="D56:D57"/>
    <mergeCell ref="N54:O54"/>
    <mergeCell ref="P54:Q54"/>
    <mergeCell ref="R54:S54"/>
    <mergeCell ref="T54:U54"/>
    <mergeCell ref="V54:W54"/>
    <mergeCell ref="D54:E55"/>
    <mergeCell ref="F54:G54"/>
    <mergeCell ref="H54:I54"/>
    <mergeCell ref="J54:K54"/>
    <mergeCell ref="L54:M54"/>
    <mergeCell ref="D53:H53"/>
    <mergeCell ref="E1:K1"/>
    <mergeCell ref="D25:F26"/>
    <mergeCell ref="D7:F7"/>
    <mergeCell ref="D14:D15"/>
    <mergeCell ref="D18:H18"/>
    <mergeCell ref="D29:H29"/>
    <mergeCell ref="D36:F37"/>
    <mergeCell ref="D40:H40"/>
    <mergeCell ref="D47:F48"/>
    <mergeCell ref="E3:I3"/>
    <mergeCell ref="E4:I4"/>
  </mergeCells>
  <pageMargins left="0.7" right="0.7" top="0.75" bottom="0.75" header="0.3" footer="0.3"/>
  <pageSetup paperSize="9" orientation="portrait" r:id="rId1"/>
  <ignoredErrors>
    <ignoredError sqref="H56 H57 J56:J57 L56:L57 N56:N57 P56:P57 R56:R57 T56:T57 V56:V57 X56:X57 Z56:Z57 AB56:AB57 H66:H67 J66:J67 L66:L67 N66:N67 P66:P67 R66:R67 T66:T67 V66:V67 X66:X67 Z66:Z67 AB66:AB67 H75:H76 J75:J76 L75:L76 N75:N76 P75:P76 R75:R76 T75:T76 V75:V76 X75:X76 Z75:Z76 AB75:AB76 H58:H59 J58:J59 L58:L59 N58:N59 P58:P59 R58:R59 T58:T59 V58:V59 X58:X59 Z58:Z59 AB58:AB59 H68:H69 J68:J69 L68:L69 N68:N69 P68:P69 R68:R69 T68:T69 V68:V69 X68:X69 Z68:Z69 AB68:AB69 H70 J70 L70 N70 P70 R70 T70 V70 X70 Z70 AB70 H79 J79 L79 N79 P79 R79 H77:H78 J77:J78 L77:L78 N77:N78 P77:P78 R77:R78 T77:T78 V77:V78 X77:X78 Z77:Z78 AB77:AB78" formula="1"/>
  </ignoredErrors>
  <drawing r:id="rId2"/>
  <legacyDrawing r:id="rId3"/>
  <controls>
    <mc:AlternateContent xmlns:mc="http://schemas.openxmlformats.org/markup-compatibility/2006">
      <mc:Choice Requires="x14">
        <control shapeId="7175" r:id="rId4" name="btnVolverPV3">
          <controlPr defaultSize="0" autoLine="0" r:id="rId5">
            <anchor moveWithCells="1">
              <from>
                <xdr:col>3</xdr:col>
                <xdr:colOff>0</xdr:colOff>
                <xdr:row>2</xdr:row>
                <xdr:rowOff>60960</xdr:rowOff>
              </from>
              <to>
                <xdr:col>3</xdr:col>
                <xdr:colOff>2308860</xdr:colOff>
                <xdr:row>3</xdr:row>
                <xdr:rowOff>198120</xdr:rowOff>
              </to>
            </anchor>
          </controlPr>
        </control>
      </mc:Choice>
      <mc:Fallback>
        <control shapeId="7175" r:id="rId4" name="btnVolverPV3"/>
      </mc:Fallback>
    </mc:AlternateContent>
    <mc:AlternateContent xmlns:mc="http://schemas.openxmlformats.org/markup-compatibility/2006">
      <mc:Choice Requires="x14">
        <control shapeId="7169" r:id="rId6" name="btnIndice">
          <controlPr defaultSize="0" autoLine="0" r:id="rId7">
            <anchor moveWithCells="1">
              <from>
                <xdr:col>1</xdr:col>
                <xdr:colOff>259080</xdr:colOff>
                <xdr:row>0</xdr:row>
                <xdr:rowOff>106680</xdr:rowOff>
              </from>
              <to>
                <xdr:col>3</xdr:col>
                <xdr:colOff>342900</xdr:colOff>
                <xdr:row>0</xdr:row>
                <xdr:rowOff>403860</xdr:rowOff>
              </to>
            </anchor>
          </controlPr>
        </control>
      </mc:Choice>
      <mc:Fallback>
        <control shapeId="7169" r:id="rId6" name="btnIndice"/>
      </mc:Fallback>
    </mc:AlternateContent>
    <mc:AlternateContent xmlns:mc="http://schemas.openxmlformats.org/markup-compatibility/2006">
      <mc:Choice Requires="x14">
        <control shapeId="7170" r:id="rId8" name="btnAnterior">
          <controlPr defaultSize="0" autoLine="0" r:id="rId9">
            <anchor moveWithCells="1">
              <from>
                <xdr:col>10</xdr:col>
                <xdr:colOff>388620</xdr:colOff>
                <xdr:row>0</xdr:row>
                <xdr:rowOff>106680</xdr:rowOff>
              </from>
              <to>
                <xdr:col>11</xdr:col>
                <xdr:colOff>441960</xdr:colOff>
                <xdr:row>0</xdr:row>
                <xdr:rowOff>403860</xdr:rowOff>
              </to>
            </anchor>
          </controlPr>
        </control>
      </mc:Choice>
      <mc:Fallback>
        <control shapeId="7170" r:id="rId8" name="btnAnterior"/>
      </mc:Fallback>
    </mc:AlternateContent>
    <mc:AlternateContent xmlns:mc="http://schemas.openxmlformats.org/markup-compatibility/2006">
      <mc:Choice Requires="x14">
        <control shapeId="7171" r:id="rId10" name="btnSiguiente">
          <controlPr defaultSize="0" autoLine="0" r:id="rId11">
            <anchor moveWithCells="1">
              <from>
                <xdr:col>11</xdr:col>
                <xdr:colOff>579120</xdr:colOff>
                <xdr:row>0</xdr:row>
                <xdr:rowOff>106680</xdr:rowOff>
              </from>
              <to>
                <xdr:col>12</xdr:col>
                <xdr:colOff>975360</xdr:colOff>
                <xdr:row>0</xdr:row>
                <xdr:rowOff>403860</xdr:rowOff>
              </to>
            </anchor>
          </controlPr>
        </control>
      </mc:Choice>
      <mc:Fallback>
        <control shapeId="7171" r:id="rId10" name="btnSiguien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K21"/>
  <sheetViews>
    <sheetView showGridLines="0" tabSelected="1" workbookViewId="0">
      <pane ySplit="1" topLeftCell="A10" activePane="bottomLeft" state="frozen"/>
      <selection pane="bottomLeft" activeCell="H42" sqref="H42"/>
    </sheetView>
  </sheetViews>
  <sheetFormatPr baseColWidth="10" defaultRowHeight="14.4" x14ac:dyDescent="0.3"/>
  <cols>
    <col min="2" max="2" width="24.33203125" customWidth="1"/>
    <col min="3" max="3" width="18.5546875" customWidth="1"/>
    <col min="4" max="4" width="18.109375" customWidth="1"/>
    <col min="5" max="5" width="17.33203125" customWidth="1"/>
  </cols>
  <sheetData>
    <row r="1" spans="2:11" s="992" customFormat="1" ht="39.75" customHeight="1" thickBot="1" x14ac:dyDescent="0.35">
      <c r="E1" s="996" t="s">
        <v>317</v>
      </c>
      <c r="F1" s="996"/>
      <c r="G1" s="996"/>
      <c r="H1" s="996"/>
      <c r="I1" s="996"/>
      <c r="J1" s="996"/>
      <c r="K1" s="996"/>
    </row>
    <row r="2" spans="2:11" ht="15" thickTop="1" x14ac:dyDescent="0.3"/>
    <row r="3" spans="2:11" ht="15" thickBot="1" x14ac:dyDescent="0.35"/>
    <row r="4" spans="2:11" ht="16.2" thickTop="1" x14ac:dyDescent="0.3">
      <c r="B4" s="580" t="s">
        <v>15</v>
      </c>
      <c r="C4" s="581"/>
      <c r="D4" s="581"/>
      <c r="E4" s="582"/>
    </row>
    <row r="5" spans="2:11" ht="15.6" x14ac:dyDescent="0.3">
      <c r="B5" s="17" t="s">
        <v>7</v>
      </c>
      <c r="C5" s="16" t="s">
        <v>8</v>
      </c>
      <c r="D5" s="751" t="s">
        <v>9</v>
      </c>
      <c r="E5" s="752"/>
    </row>
    <row r="6" spans="2:11" ht="15.6" x14ac:dyDescent="0.3">
      <c r="B6" s="18">
        <f>Hipótesis!B23</f>
        <v>2022</v>
      </c>
      <c r="C6" s="14">
        <f>Hipótesis!C23</f>
        <v>0.03</v>
      </c>
      <c r="D6" s="753">
        <f>Hipótesis!D23</f>
        <v>72000000</v>
      </c>
      <c r="E6" s="754"/>
    </row>
    <row r="7" spans="2:11" ht="15.6" x14ac:dyDescent="0.3">
      <c r="B7" s="18">
        <f>Hipótesis!B24</f>
        <v>2023</v>
      </c>
      <c r="C7" s="14">
        <f>Hipótesis!C24</f>
        <v>0.06</v>
      </c>
      <c r="D7" s="753">
        <f>Hipótesis!D24</f>
        <v>144000000</v>
      </c>
      <c r="E7" s="754"/>
    </row>
    <row r="8" spans="2:11" ht="16.2" thickBot="1" x14ac:dyDescent="0.35">
      <c r="B8" s="19">
        <f>Hipótesis!B25</f>
        <v>2024</v>
      </c>
      <c r="C8" s="20">
        <f>Hipótesis!C25</f>
        <v>0.1</v>
      </c>
      <c r="D8" s="755">
        <f>Hipótesis!D25</f>
        <v>240000000</v>
      </c>
      <c r="E8" s="756"/>
    </row>
    <row r="9" spans="2:11" ht="15" thickTop="1" x14ac:dyDescent="0.3"/>
    <row r="10" spans="2:11" ht="15" thickBot="1" x14ac:dyDescent="0.35"/>
    <row r="11" spans="2:11" ht="26.4" thickBot="1" x14ac:dyDescent="0.55000000000000004">
      <c r="B11" s="997" t="s">
        <v>67</v>
      </c>
      <c r="C11" s="998"/>
      <c r="D11" s="998"/>
      <c r="E11" s="999"/>
    </row>
    <row r="12" spans="2:11" ht="16.2" thickBot="1" x14ac:dyDescent="0.35">
      <c r="B12" s="75" t="s">
        <v>10</v>
      </c>
      <c r="C12" s="73" t="s">
        <v>69</v>
      </c>
      <c r="D12" s="73" t="s">
        <v>205</v>
      </c>
      <c r="E12" s="74" t="s">
        <v>466</v>
      </c>
    </row>
    <row r="13" spans="2:11" ht="16.2" thickTop="1" x14ac:dyDescent="0.3">
      <c r="B13" s="83" t="str">
        <f>Hipótesis!F30</f>
        <v xml:space="preserve">Liviana </v>
      </c>
      <c r="C13" s="77"/>
      <c r="D13" s="77"/>
      <c r="E13" s="78"/>
    </row>
    <row r="14" spans="2:11" ht="15.6" x14ac:dyDescent="0.3">
      <c r="B14" s="84" t="str">
        <f>Hipótesis!B30</f>
        <v>Dada</v>
      </c>
      <c r="C14" s="76">
        <f>'Proyección de ventas'!D40</f>
        <v>11925000</v>
      </c>
      <c r="D14" s="76">
        <f>'Proyección de ventas'!D91</f>
        <v>23850000</v>
      </c>
      <c r="E14" s="79">
        <f>'Proyección de ventas'!D143</f>
        <v>33390000</v>
      </c>
    </row>
    <row r="15" spans="2:11" ht="16.2" thickBot="1" x14ac:dyDescent="0.35">
      <c r="B15" s="84" t="str">
        <f>Hipótesis!B31</f>
        <v>Gretel</v>
      </c>
      <c r="C15" s="76">
        <f>'Proyección de ventas'!D41</f>
        <v>10000000</v>
      </c>
      <c r="D15" s="76">
        <f>'Proyección de ventas'!D92</f>
        <v>20000000</v>
      </c>
      <c r="E15" s="79">
        <f>'Proyección de ventas'!D144</f>
        <v>30000000</v>
      </c>
    </row>
    <row r="16" spans="2:11" ht="16.2" thickTop="1" x14ac:dyDescent="0.3">
      <c r="B16" s="82" t="str">
        <f>Hipótesis!G30</f>
        <v>Creativa</v>
      </c>
      <c r="C16" s="240"/>
      <c r="D16" s="240"/>
      <c r="E16" s="241"/>
    </row>
    <row r="17" spans="2:5" ht="16.2" thickBot="1" x14ac:dyDescent="0.35">
      <c r="B17" s="85" t="str">
        <f>Hipótesis!B32</f>
        <v>Monkey</v>
      </c>
      <c r="C17" s="80">
        <f>'Proyección de ventas'!D43</f>
        <v>8535000</v>
      </c>
      <c r="D17" s="80">
        <f>'Proyección de ventas'!D94</f>
        <v>17070000</v>
      </c>
      <c r="E17" s="81">
        <f>'Proyección de ventas'!D146</f>
        <v>25605000</v>
      </c>
    </row>
    <row r="18" spans="2:5" ht="16.8" thickTop="1" thickBot="1" x14ac:dyDescent="0.35">
      <c r="B18" s="86" t="str">
        <f>Hipótesis!H30</f>
        <v>Exclusiva</v>
      </c>
      <c r="C18" s="240"/>
      <c r="D18" s="245"/>
      <c r="E18" s="246"/>
    </row>
    <row r="19" spans="2:5" ht="16.2" thickBot="1" x14ac:dyDescent="0.35">
      <c r="B19" s="87" t="str">
        <f>Hipótesis!B33</f>
        <v>Personalizada</v>
      </c>
      <c r="C19" s="242">
        <f>'Proyección de ventas'!D45</f>
        <v>6740000</v>
      </c>
      <c r="D19" s="243">
        <f>'Proyección de ventas'!D96</f>
        <v>13480000</v>
      </c>
      <c r="E19" s="244">
        <f>'Proyección de ventas'!D148</f>
        <v>26960000</v>
      </c>
    </row>
    <row r="20" spans="2:5" ht="15.6" thickTop="1" thickBot="1" x14ac:dyDescent="0.35">
      <c r="B20" s="88" t="s">
        <v>68</v>
      </c>
      <c r="C20" s="89">
        <f>SUM(C13:C19)</f>
        <v>37200000</v>
      </c>
      <c r="D20" s="89">
        <f>SUM(D13:D19)</f>
        <v>74400000</v>
      </c>
      <c r="E20" s="90">
        <f>SUM(E13:E19)</f>
        <v>115955000</v>
      </c>
    </row>
    <row r="21" spans="2:5" ht="15" thickTop="1" x14ac:dyDescent="0.3"/>
  </sheetData>
  <mergeCells count="7">
    <mergeCell ref="B11:E11"/>
    <mergeCell ref="E1:K1"/>
    <mergeCell ref="B4:E4"/>
    <mergeCell ref="D5:E5"/>
    <mergeCell ref="D6:E6"/>
    <mergeCell ref="D7:E7"/>
    <mergeCell ref="D8:E8"/>
  </mergeCells>
  <pageMargins left="0.7" right="0.7" top="0.75" bottom="0.75" header="0.3" footer="0.3"/>
  <drawing r:id="rId1"/>
  <legacyDrawing r:id="rId2"/>
  <controls>
    <mc:AlternateContent xmlns:mc="http://schemas.openxmlformats.org/markup-compatibility/2006">
      <mc:Choice Requires="x14">
        <control shapeId="8193" r:id="rId3" name="btnIndice">
          <controlPr defaultSize="0" autoLine="0" r:id="rId4">
            <anchor moveWithCells="1">
              <from>
                <xdr:col>1</xdr:col>
                <xdr:colOff>243840</xdr:colOff>
                <xdr:row>0</xdr:row>
                <xdr:rowOff>106680</xdr:rowOff>
              </from>
              <to>
                <xdr:col>2</xdr:col>
                <xdr:colOff>243840</xdr:colOff>
                <xdr:row>0</xdr:row>
                <xdr:rowOff>403860</xdr:rowOff>
              </to>
            </anchor>
          </controlPr>
        </control>
      </mc:Choice>
      <mc:Fallback>
        <control shapeId="8193" r:id="rId3" name="btnIndice"/>
      </mc:Fallback>
    </mc:AlternateContent>
    <mc:AlternateContent xmlns:mc="http://schemas.openxmlformats.org/markup-compatibility/2006">
      <mc:Choice Requires="x14">
        <control shapeId="8194" r:id="rId5" name="btnAnterior">
          <controlPr defaultSize="0" autoLine="0" r:id="rId6">
            <anchor moveWithCells="1">
              <from>
                <xdr:col>11</xdr:col>
                <xdr:colOff>30480</xdr:colOff>
                <xdr:row>0</xdr:row>
                <xdr:rowOff>106680</xdr:rowOff>
              </from>
              <to>
                <xdr:col>13</xdr:col>
                <xdr:colOff>114300</xdr:colOff>
                <xdr:row>0</xdr:row>
                <xdr:rowOff>403860</xdr:rowOff>
              </to>
            </anchor>
          </controlPr>
        </control>
      </mc:Choice>
      <mc:Fallback>
        <control shapeId="8194" r:id="rId5" name="btnAnterior"/>
      </mc:Fallback>
    </mc:AlternateContent>
    <mc:AlternateContent xmlns:mc="http://schemas.openxmlformats.org/markup-compatibility/2006">
      <mc:Choice Requires="x14">
        <control shapeId="8195" r:id="rId7" name="btnSiguiente">
          <controlPr defaultSize="0" autoLine="0" r:id="rId8">
            <anchor moveWithCells="1">
              <from>
                <xdr:col>13</xdr:col>
                <xdr:colOff>365760</xdr:colOff>
                <xdr:row>0</xdr:row>
                <xdr:rowOff>106680</xdr:rowOff>
              </from>
              <to>
                <xdr:col>15</xdr:col>
                <xdr:colOff>449580</xdr:colOff>
                <xdr:row>0</xdr:row>
                <xdr:rowOff>403860</xdr:rowOff>
              </to>
            </anchor>
          </controlPr>
        </control>
      </mc:Choice>
      <mc:Fallback>
        <control shapeId="8195" r:id="rId7" name="btnSiguient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C1:Q68"/>
  <sheetViews>
    <sheetView showGridLines="0" topLeftCell="C1" zoomScaleNormal="100" workbookViewId="0">
      <pane ySplit="3" topLeftCell="A4" activePane="bottomLeft" state="frozen"/>
      <selection pane="bottomLeft" activeCell="E49" sqref="E49"/>
    </sheetView>
  </sheetViews>
  <sheetFormatPr baseColWidth="10" defaultRowHeight="14.4" x14ac:dyDescent="0.3"/>
  <cols>
    <col min="4" max="4" width="21" customWidth="1"/>
    <col min="5" max="5" width="17.44140625" bestFit="1" customWidth="1"/>
    <col min="6" max="6" width="14.44140625" bestFit="1" customWidth="1"/>
    <col min="7" max="7" width="14.5546875" customWidth="1"/>
    <col min="8" max="8" width="17.44140625" customWidth="1"/>
    <col min="9" max="9" width="19.44140625" customWidth="1"/>
    <col min="10" max="10" width="18.44140625" customWidth="1"/>
    <col min="11" max="11" width="14.5546875" customWidth="1"/>
    <col min="12" max="12" width="14.88671875" customWidth="1"/>
    <col min="13" max="14" width="14.5546875" customWidth="1"/>
    <col min="15" max="15" width="14.33203125" customWidth="1"/>
    <col min="16" max="16" width="15.6640625" customWidth="1"/>
    <col min="17" max="17" width="17.33203125" customWidth="1"/>
  </cols>
  <sheetData>
    <row r="1" spans="3:17" s="537" customFormat="1" x14ac:dyDescent="0.3">
      <c r="E1" s="1000" t="s">
        <v>71</v>
      </c>
      <c r="F1" s="1001"/>
      <c r="G1" s="1001"/>
      <c r="H1" s="1001"/>
      <c r="I1" s="1001"/>
      <c r="J1" s="1001"/>
      <c r="K1" s="1001"/>
    </row>
    <row r="2" spans="3:17" s="537" customFormat="1" x14ac:dyDescent="0.3">
      <c r="E2" s="1001"/>
      <c r="F2" s="1001"/>
      <c r="G2" s="1001"/>
      <c r="H2" s="1001"/>
      <c r="I2" s="1001"/>
      <c r="J2" s="1001"/>
      <c r="K2" s="1001"/>
    </row>
    <row r="3" spans="3:17" s="992" customFormat="1" ht="15" thickBot="1" x14ac:dyDescent="0.35">
      <c r="E3" s="1002"/>
      <c r="F3" s="1002"/>
      <c r="G3" s="1002"/>
      <c r="H3" s="1002"/>
      <c r="I3" s="1002"/>
      <c r="J3" s="1002"/>
      <c r="K3" s="1002"/>
    </row>
    <row r="4" spans="3:17" ht="15" thickTop="1" x14ac:dyDescent="0.3"/>
    <row r="5" spans="3:17" ht="15" thickBot="1" x14ac:dyDescent="0.35"/>
    <row r="6" spans="3:17" ht="16.5" customHeight="1" thickTop="1" x14ac:dyDescent="0.3">
      <c r="C6" s="580" t="s">
        <v>15</v>
      </c>
      <c r="D6" s="581"/>
      <c r="E6" s="581"/>
      <c r="F6" s="582"/>
      <c r="H6" s="580" t="s">
        <v>26</v>
      </c>
      <c r="I6" s="581"/>
      <c r="J6" s="1003"/>
    </row>
    <row r="7" spans="3:17" ht="15.6" x14ac:dyDescent="0.3">
      <c r="C7" s="17" t="s">
        <v>7</v>
      </c>
      <c r="D7" s="16" t="s">
        <v>8</v>
      </c>
      <c r="E7" s="751" t="s">
        <v>9</v>
      </c>
      <c r="F7" s="752"/>
      <c r="H7" s="17">
        <v>2022</v>
      </c>
      <c r="I7" s="16">
        <v>2023</v>
      </c>
      <c r="J7" s="23">
        <v>2024</v>
      </c>
    </row>
    <row r="8" spans="3:17" ht="16.2" thickBot="1" x14ac:dyDescent="0.35">
      <c r="C8" s="18">
        <f>Hipótesis!B23</f>
        <v>2022</v>
      </c>
      <c r="D8" s="14">
        <f>Hipótesis!C23</f>
        <v>0.03</v>
      </c>
      <c r="E8" s="753">
        <f>Hipótesis!D23</f>
        <v>72000000</v>
      </c>
      <c r="F8" s="754"/>
      <c r="H8" s="98">
        <f>Q30</f>
        <v>7891200</v>
      </c>
      <c r="I8" s="99">
        <f>Q49</f>
        <v>11972400</v>
      </c>
      <c r="J8" s="24">
        <f>Q68</f>
        <v>18914400</v>
      </c>
    </row>
    <row r="9" spans="3:17" ht="16.2" thickTop="1" x14ac:dyDescent="0.3">
      <c r="C9" s="18">
        <f>Hipótesis!B24</f>
        <v>2023</v>
      </c>
      <c r="D9" s="14">
        <f>Hipótesis!C24</f>
        <v>0.06</v>
      </c>
      <c r="E9" s="753">
        <f>Hipótesis!D24</f>
        <v>144000000</v>
      </c>
      <c r="F9" s="754"/>
    </row>
    <row r="10" spans="3:17" ht="16.2" thickBot="1" x14ac:dyDescent="0.35">
      <c r="C10" s="19">
        <f>Hipótesis!B25</f>
        <v>2024</v>
      </c>
      <c r="D10" s="20">
        <f>Hipótesis!C25</f>
        <v>0.1</v>
      </c>
      <c r="E10" s="755">
        <f>Hipótesis!D25</f>
        <v>240000000</v>
      </c>
      <c r="F10" s="756"/>
    </row>
    <row r="11" spans="3:17" ht="15" thickTop="1" x14ac:dyDescent="0.3"/>
    <row r="12" spans="3:17" ht="15" thickBot="1" x14ac:dyDescent="0.35"/>
    <row r="13" spans="3:17" ht="16.2" thickTop="1" x14ac:dyDescent="0.3">
      <c r="C13" s="1004" t="s">
        <v>89</v>
      </c>
      <c r="D13" s="1005"/>
      <c r="E13" s="1006" t="s">
        <v>28</v>
      </c>
      <c r="F13" s="1006" t="s">
        <v>29</v>
      </c>
      <c r="G13" s="1006" t="s">
        <v>30</v>
      </c>
      <c r="H13" s="1006" t="s">
        <v>31</v>
      </c>
      <c r="I13" s="1006" t="s">
        <v>32</v>
      </c>
      <c r="J13" s="1006" t="s">
        <v>33</v>
      </c>
      <c r="K13" s="1006" t="s">
        <v>34</v>
      </c>
      <c r="L13" s="1006" t="s">
        <v>35</v>
      </c>
      <c r="M13" s="1006" t="s">
        <v>36</v>
      </c>
      <c r="N13" s="1006" t="s">
        <v>37</v>
      </c>
      <c r="O13" s="1006" t="s">
        <v>38</v>
      </c>
      <c r="P13" s="1006" t="s">
        <v>39</v>
      </c>
      <c r="Q13" s="1007" t="s">
        <v>44</v>
      </c>
    </row>
    <row r="14" spans="3:17" ht="15.6" x14ac:dyDescent="0.3">
      <c r="C14" s="806" t="s">
        <v>76</v>
      </c>
      <c r="D14" s="807"/>
      <c r="E14" s="91">
        <v>60000</v>
      </c>
      <c r="F14" s="91">
        <v>60000</v>
      </c>
      <c r="G14" s="91">
        <v>60000</v>
      </c>
      <c r="H14" s="91">
        <v>60000</v>
      </c>
      <c r="I14" s="91">
        <v>60000</v>
      </c>
      <c r="J14" s="91">
        <v>60000</v>
      </c>
      <c r="K14" s="91">
        <v>60000</v>
      </c>
      <c r="L14" s="91">
        <v>60000</v>
      </c>
      <c r="M14" s="91">
        <v>60000</v>
      </c>
      <c r="N14" s="91">
        <v>60000</v>
      </c>
      <c r="O14" s="91">
        <v>60000</v>
      </c>
      <c r="P14" s="91">
        <v>60000</v>
      </c>
      <c r="Q14" s="93">
        <f>SUM(E14+F14+G14+H14+I14+J14+K14+L14+M14+N14+O14+P14)</f>
        <v>720000</v>
      </c>
    </row>
    <row r="15" spans="3:17" ht="15.6" x14ac:dyDescent="0.3">
      <c r="C15" s="806" t="s">
        <v>77</v>
      </c>
      <c r="D15" s="807"/>
      <c r="E15" s="91">
        <v>6000</v>
      </c>
      <c r="F15" s="91">
        <v>6000</v>
      </c>
      <c r="G15" s="91">
        <v>6000</v>
      </c>
      <c r="H15" s="91">
        <v>6000</v>
      </c>
      <c r="I15" s="91">
        <v>6000</v>
      </c>
      <c r="J15" s="91">
        <v>6000</v>
      </c>
      <c r="K15" s="91">
        <v>6000</v>
      </c>
      <c r="L15" s="91">
        <v>6000</v>
      </c>
      <c r="M15" s="91">
        <v>6000</v>
      </c>
      <c r="N15" s="91">
        <v>6000</v>
      </c>
      <c r="O15" s="91">
        <v>6000</v>
      </c>
      <c r="P15" s="91">
        <v>6000</v>
      </c>
      <c r="Q15" s="93">
        <f t="shared" ref="Q15:Q29" si="0">SUM(E15+F15+G15+H15+I15+J15+K15+L15+M15+N15+O15+P15)</f>
        <v>72000</v>
      </c>
    </row>
    <row r="16" spans="3:17" ht="15.6" x14ac:dyDescent="0.3">
      <c r="C16" s="806" t="s">
        <v>73</v>
      </c>
      <c r="D16" s="807"/>
      <c r="E16" s="91">
        <v>30000</v>
      </c>
      <c r="F16" s="91">
        <v>30000</v>
      </c>
      <c r="G16" s="91">
        <v>30000</v>
      </c>
      <c r="H16" s="91">
        <v>30000</v>
      </c>
      <c r="I16" s="91">
        <v>30000</v>
      </c>
      <c r="J16" s="91">
        <v>30000</v>
      </c>
      <c r="K16" s="91">
        <v>30000</v>
      </c>
      <c r="L16" s="91">
        <v>30000</v>
      </c>
      <c r="M16" s="91">
        <v>30000</v>
      </c>
      <c r="N16" s="91">
        <v>30000</v>
      </c>
      <c r="O16" s="91">
        <v>30000</v>
      </c>
      <c r="P16" s="91">
        <v>30000</v>
      </c>
      <c r="Q16" s="93">
        <f t="shared" si="0"/>
        <v>360000</v>
      </c>
    </row>
    <row r="17" spans="3:17" ht="15.6" x14ac:dyDescent="0.3">
      <c r="C17" s="806" t="s">
        <v>78</v>
      </c>
      <c r="D17" s="807"/>
      <c r="E17" s="91">
        <v>5000</v>
      </c>
      <c r="F17" s="91">
        <v>5000</v>
      </c>
      <c r="G17" s="91">
        <v>5000</v>
      </c>
      <c r="H17" s="91">
        <v>5000</v>
      </c>
      <c r="I17" s="91">
        <v>5000</v>
      </c>
      <c r="J17" s="91">
        <v>5000</v>
      </c>
      <c r="K17" s="91">
        <v>5000</v>
      </c>
      <c r="L17" s="91">
        <v>5000</v>
      </c>
      <c r="M17" s="91">
        <v>5000</v>
      </c>
      <c r="N17" s="91">
        <v>5000</v>
      </c>
      <c r="O17" s="91">
        <v>5000</v>
      </c>
      <c r="P17" s="91">
        <v>5000</v>
      </c>
      <c r="Q17" s="93">
        <f t="shared" si="0"/>
        <v>60000</v>
      </c>
    </row>
    <row r="18" spans="3:17" ht="15.6" x14ac:dyDescent="0.3">
      <c r="C18" s="806" t="s">
        <v>72</v>
      </c>
      <c r="D18" s="807"/>
      <c r="E18" s="91">
        <v>5000</v>
      </c>
      <c r="F18" s="91">
        <v>5000</v>
      </c>
      <c r="G18" s="91">
        <v>5000</v>
      </c>
      <c r="H18" s="91">
        <v>5000</v>
      </c>
      <c r="I18" s="91">
        <v>5000</v>
      </c>
      <c r="J18" s="91">
        <v>5000</v>
      </c>
      <c r="K18" s="91">
        <v>5000</v>
      </c>
      <c r="L18" s="91">
        <v>5000</v>
      </c>
      <c r="M18" s="91">
        <v>5000</v>
      </c>
      <c r="N18" s="91">
        <v>5000</v>
      </c>
      <c r="O18" s="91">
        <v>5000</v>
      </c>
      <c r="P18" s="91">
        <v>5000</v>
      </c>
      <c r="Q18" s="93">
        <f t="shared" si="0"/>
        <v>60000</v>
      </c>
    </row>
    <row r="19" spans="3:17" ht="15.6" x14ac:dyDescent="0.3">
      <c r="C19" s="806" t="s">
        <v>87</v>
      </c>
      <c r="D19" s="807"/>
      <c r="E19" s="91">
        <v>2200</v>
      </c>
      <c r="F19" s="91">
        <v>2200</v>
      </c>
      <c r="G19" s="91">
        <v>2200</v>
      </c>
      <c r="H19" s="91">
        <v>2200</v>
      </c>
      <c r="I19" s="91">
        <v>2200</v>
      </c>
      <c r="J19" s="91">
        <v>2200</v>
      </c>
      <c r="K19" s="91">
        <v>2200</v>
      </c>
      <c r="L19" s="91">
        <v>2200</v>
      </c>
      <c r="M19" s="91">
        <v>2200</v>
      </c>
      <c r="N19" s="91">
        <v>2200</v>
      </c>
      <c r="O19" s="91">
        <v>2200</v>
      </c>
      <c r="P19" s="91">
        <v>2200</v>
      </c>
      <c r="Q19" s="93">
        <f t="shared" si="0"/>
        <v>26400</v>
      </c>
    </row>
    <row r="20" spans="3:17" ht="15.6" x14ac:dyDescent="0.3">
      <c r="C20" s="806" t="s">
        <v>74</v>
      </c>
      <c r="D20" s="807"/>
      <c r="E20" s="91">
        <v>8500</v>
      </c>
      <c r="F20" s="91">
        <v>8500</v>
      </c>
      <c r="G20" s="91">
        <v>8500</v>
      </c>
      <c r="H20" s="91">
        <v>8500</v>
      </c>
      <c r="I20" s="91">
        <v>8500</v>
      </c>
      <c r="J20" s="91">
        <v>8500</v>
      </c>
      <c r="K20" s="91">
        <v>8500</v>
      </c>
      <c r="L20" s="91">
        <v>8500</v>
      </c>
      <c r="M20" s="91">
        <v>8500</v>
      </c>
      <c r="N20" s="91">
        <v>8500</v>
      </c>
      <c r="O20" s="91">
        <v>8500</v>
      </c>
      <c r="P20" s="91">
        <v>8500</v>
      </c>
      <c r="Q20" s="93">
        <f t="shared" si="0"/>
        <v>102000</v>
      </c>
    </row>
    <row r="21" spans="3:17" ht="15.6" x14ac:dyDescent="0.3">
      <c r="C21" s="806" t="s">
        <v>79</v>
      </c>
      <c r="D21" s="807"/>
      <c r="E21" s="91">
        <v>3000</v>
      </c>
      <c r="F21" s="91">
        <v>3000</v>
      </c>
      <c r="G21" s="91">
        <v>3000</v>
      </c>
      <c r="H21" s="91">
        <v>3000</v>
      </c>
      <c r="I21" s="91">
        <v>3000</v>
      </c>
      <c r="J21" s="91">
        <v>3000</v>
      </c>
      <c r="K21" s="91">
        <v>3000</v>
      </c>
      <c r="L21" s="91">
        <v>3000</v>
      </c>
      <c r="M21" s="91">
        <v>3000</v>
      </c>
      <c r="N21" s="91">
        <v>3000</v>
      </c>
      <c r="O21" s="91">
        <v>3000</v>
      </c>
      <c r="P21" s="91">
        <v>3000</v>
      </c>
      <c r="Q21" s="93">
        <f t="shared" si="0"/>
        <v>36000</v>
      </c>
    </row>
    <row r="22" spans="3:17" ht="15.6" x14ac:dyDescent="0.3">
      <c r="C22" s="806" t="s">
        <v>80</v>
      </c>
      <c r="D22" s="807"/>
      <c r="E22" s="94">
        <v>200000</v>
      </c>
      <c r="F22" s="94">
        <v>200000</v>
      </c>
      <c r="G22" s="94">
        <v>200000</v>
      </c>
      <c r="H22" s="94">
        <v>200000</v>
      </c>
      <c r="I22" s="94">
        <v>200000</v>
      </c>
      <c r="J22" s="94">
        <v>200000</v>
      </c>
      <c r="K22" s="94">
        <v>200000</v>
      </c>
      <c r="L22" s="94">
        <v>200000</v>
      </c>
      <c r="M22" s="94">
        <v>200000</v>
      </c>
      <c r="N22" s="94">
        <v>200000</v>
      </c>
      <c r="O22" s="94">
        <v>200000</v>
      </c>
      <c r="P22" s="94">
        <v>200000</v>
      </c>
      <c r="Q22" s="93">
        <f t="shared" si="0"/>
        <v>2400000</v>
      </c>
    </row>
    <row r="23" spans="3:17" ht="15.6" x14ac:dyDescent="0.3">
      <c r="C23" s="810" t="s">
        <v>81</v>
      </c>
      <c r="D23" s="811"/>
      <c r="E23" s="91">
        <v>150000</v>
      </c>
      <c r="F23" s="91">
        <v>150000</v>
      </c>
      <c r="G23" s="91">
        <v>150000</v>
      </c>
      <c r="H23" s="91">
        <v>150000</v>
      </c>
      <c r="I23" s="91">
        <v>150000</v>
      </c>
      <c r="J23" s="91">
        <v>150000</v>
      </c>
      <c r="K23" s="91">
        <v>150000</v>
      </c>
      <c r="L23" s="91">
        <v>150000</v>
      </c>
      <c r="M23" s="91">
        <v>150000</v>
      </c>
      <c r="N23" s="91">
        <v>150000</v>
      </c>
      <c r="O23" s="91">
        <v>150000</v>
      </c>
      <c r="P23" s="91">
        <v>150000</v>
      </c>
      <c r="Q23" s="93">
        <f t="shared" si="0"/>
        <v>1800000</v>
      </c>
    </row>
    <row r="24" spans="3:17" ht="15.6" x14ac:dyDescent="0.3">
      <c r="C24" s="806" t="s">
        <v>75</v>
      </c>
      <c r="D24" s="807"/>
      <c r="E24" s="91">
        <v>160000</v>
      </c>
      <c r="F24" s="91">
        <v>160000</v>
      </c>
      <c r="G24" s="91">
        <v>160000</v>
      </c>
      <c r="H24" s="91">
        <v>160000</v>
      </c>
      <c r="I24" s="91">
        <v>160000</v>
      </c>
      <c r="J24" s="91">
        <v>160000</v>
      </c>
      <c r="K24" s="91">
        <v>160000</v>
      </c>
      <c r="L24" s="91">
        <v>160000</v>
      </c>
      <c r="M24" s="91">
        <v>160000</v>
      </c>
      <c r="N24" s="91">
        <v>160000</v>
      </c>
      <c r="O24" s="91">
        <v>160000</v>
      </c>
      <c r="P24" s="91">
        <v>160000</v>
      </c>
      <c r="Q24" s="93">
        <f t="shared" si="0"/>
        <v>1920000</v>
      </c>
    </row>
    <row r="25" spans="3:17" ht="15.6" x14ac:dyDescent="0.3">
      <c r="C25" s="806" t="s">
        <v>82</v>
      </c>
      <c r="D25" s="807"/>
      <c r="E25" s="91">
        <v>7500</v>
      </c>
      <c r="F25" s="91">
        <v>7500</v>
      </c>
      <c r="G25" s="91">
        <v>7500</v>
      </c>
      <c r="H25" s="91">
        <v>7500</v>
      </c>
      <c r="I25" s="91">
        <v>7500</v>
      </c>
      <c r="J25" s="91">
        <v>7500</v>
      </c>
      <c r="K25" s="91">
        <v>7500</v>
      </c>
      <c r="L25" s="91">
        <v>7500</v>
      </c>
      <c r="M25" s="91">
        <v>7500</v>
      </c>
      <c r="N25" s="91">
        <v>7500</v>
      </c>
      <c r="O25" s="91">
        <v>7500</v>
      </c>
      <c r="P25" s="91">
        <v>7500</v>
      </c>
      <c r="Q25" s="93">
        <f t="shared" si="0"/>
        <v>90000</v>
      </c>
    </row>
    <row r="26" spans="3:17" ht="15.6" x14ac:dyDescent="0.3">
      <c r="C26" s="806" t="s">
        <v>83</v>
      </c>
      <c r="D26" s="807"/>
      <c r="E26" s="91">
        <v>2400</v>
      </c>
      <c r="F26" s="91">
        <v>2400</v>
      </c>
      <c r="G26" s="91">
        <v>2400</v>
      </c>
      <c r="H26" s="91">
        <v>2400</v>
      </c>
      <c r="I26" s="91">
        <v>2400</v>
      </c>
      <c r="J26" s="91">
        <v>2400</v>
      </c>
      <c r="K26" s="91">
        <v>2400</v>
      </c>
      <c r="L26" s="91">
        <v>2400</v>
      </c>
      <c r="M26" s="91">
        <v>2400</v>
      </c>
      <c r="N26" s="91">
        <v>2400</v>
      </c>
      <c r="O26" s="91">
        <v>2400</v>
      </c>
      <c r="P26" s="91">
        <v>2400</v>
      </c>
      <c r="Q26" s="93">
        <f t="shared" si="0"/>
        <v>28800</v>
      </c>
    </row>
    <row r="27" spans="3:17" ht="15.6" x14ac:dyDescent="0.3">
      <c r="C27" s="806" t="s">
        <v>84</v>
      </c>
      <c r="D27" s="807"/>
      <c r="E27" s="91">
        <v>12000</v>
      </c>
      <c r="F27" s="91">
        <v>12000</v>
      </c>
      <c r="G27" s="91">
        <v>12000</v>
      </c>
      <c r="H27" s="91">
        <v>12000</v>
      </c>
      <c r="I27" s="91">
        <v>12000</v>
      </c>
      <c r="J27" s="91">
        <v>12000</v>
      </c>
      <c r="K27" s="91">
        <v>12000</v>
      </c>
      <c r="L27" s="91">
        <v>12000</v>
      </c>
      <c r="M27" s="91">
        <v>12000</v>
      </c>
      <c r="N27" s="91">
        <v>12000</v>
      </c>
      <c r="O27" s="91">
        <v>12000</v>
      </c>
      <c r="P27" s="91">
        <v>12000</v>
      </c>
      <c r="Q27" s="93">
        <f t="shared" si="0"/>
        <v>144000</v>
      </c>
    </row>
    <row r="28" spans="3:17" ht="15.6" x14ac:dyDescent="0.3">
      <c r="C28" s="808" t="s">
        <v>85</v>
      </c>
      <c r="D28" s="809"/>
      <c r="E28" s="95">
        <v>4000</v>
      </c>
      <c r="F28" s="95">
        <v>4000</v>
      </c>
      <c r="G28" s="95">
        <v>4000</v>
      </c>
      <c r="H28" s="95">
        <v>4000</v>
      </c>
      <c r="I28" s="95">
        <v>4000</v>
      </c>
      <c r="J28" s="95">
        <v>4000</v>
      </c>
      <c r="K28" s="95">
        <v>4000</v>
      </c>
      <c r="L28" s="95">
        <v>4000</v>
      </c>
      <c r="M28" s="95">
        <v>4000</v>
      </c>
      <c r="N28" s="95">
        <v>4000</v>
      </c>
      <c r="O28" s="95">
        <v>4000</v>
      </c>
      <c r="P28" s="95">
        <v>4000</v>
      </c>
      <c r="Q28" s="93">
        <f>SUM(E28+F28+G28+H28+I28+J28+K28+L28+M28+N28+O28+P28)</f>
        <v>48000</v>
      </c>
    </row>
    <row r="29" spans="3:17" ht="16.2" thickBot="1" x14ac:dyDescent="0.35">
      <c r="C29" s="812" t="s">
        <v>86</v>
      </c>
      <c r="D29" s="813"/>
      <c r="E29" s="96">
        <v>2000</v>
      </c>
      <c r="F29" s="96">
        <v>2000</v>
      </c>
      <c r="G29" s="96">
        <v>2000</v>
      </c>
      <c r="H29" s="96">
        <v>2000</v>
      </c>
      <c r="I29" s="96">
        <v>2000</v>
      </c>
      <c r="J29" s="96">
        <v>2000</v>
      </c>
      <c r="K29" s="96">
        <v>2000</v>
      </c>
      <c r="L29" s="96">
        <v>2000</v>
      </c>
      <c r="M29" s="96">
        <v>2000</v>
      </c>
      <c r="N29" s="96">
        <v>2000</v>
      </c>
      <c r="O29" s="96">
        <v>2000</v>
      </c>
      <c r="P29" s="96">
        <v>2000</v>
      </c>
      <c r="Q29" s="97">
        <f t="shared" si="0"/>
        <v>24000</v>
      </c>
    </row>
    <row r="30" spans="3:17" ht="15.6" thickTop="1" thickBot="1" x14ac:dyDescent="0.35">
      <c r="Q30" s="92">
        <f>SUM(Q14:Q29)</f>
        <v>7891200</v>
      </c>
    </row>
    <row r="31" spans="3:17" ht="15" thickBot="1" x14ac:dyDescent="0.35"/>
    <row r="32" spans="3:17" ht="16.2" thickTop="1" x14ac:dyDescent="0.3">
      <c r="C32" s="1004" t="s">
        <v>198</v>
      </c>
      <c r="D32" s="1005"/>
      <c r="E32" s="1006" t="s">
        <v>28</v>
      </c>
      <c r="F32" s="1006" t="s">
        <v>29</v>
      </c>
      <c r="G32" s="1006" t="s">
        <v>30</v>
      </c>
      <c r="H32" s="1006" t="s">
        <v>31</v>
      </c>
      <c r="I32" s="1006" t="s">
        <v>32</v>
      </c>
      <c r="J32" s="1006" t="s">
        <v>33</v>
      </c>
      <c r="K32" s="1006" t="s">
        <v>34</v>
      </c>
      <c r="L32" s="1006" t="s">
        <v>35</v>
      </c>
      <c r="M32" s="1006" t="s">
        <v>36</v>
      </c>
      <c r="N32" s="1006" t="s">
        <v>37</v>
      </c>
      <c r="O32" s="1006" t="s">
        <v>38</v>
      </c>
      <c r="P32" s="1006" t="s">
        <v>39</v>
      </c>
      <c r="Q32" s="1007" t="s">
        <v>44</v>
      </c>
    </row>
    <row r="33" spans="3:17" ht="15.6" x14ac:dyDescent="0.3">
      <c r="C33" s="806" t="s">
        <v>76</v>
      </c>
      <c r="D33" s="807"/>
      <c r="E33" s="91">
        <v>80000</v>
      </c>
      <c r="F33" s="91">
        <v>80000</v>
      </c>
      <c r="G33" s="91">
        <v>80000</v>
      </c>
      <c r="H33" s="91">
        <v>80000</v>
      </c>
      <c r="I33" s="91">
        <v>80000</v>
      </c>
      <c r="J33" s="91">
        <v>80000</v>
      </c>
      <c r="K33" s="91">
        <v>80000</v>
      </c>
      <c r="L33" s="91">
        <v>80000</v>
      </c>
      <c r="M33" s="91">
        <v>80000</v>
      </c>
      <c r="N33" s="91">
        <v>80000</v>
      </c>
      <c r="O33" s="91">
        <v>80000</v>
      </c>
      <c r="P33" s="91">
        <v>80000</v>
      </c>
      <c r="Q33" s="93">
        <f>SUM(E33+F33+G33+H33+I33+J33+K33+L33+M33+N33+O33+P33)</f>
        <v>960000</v>
      </c>
    </row>
    <row r="34" spans="3:17" ht="15.6" x14ac:dyDescent="0.3">
      <c r="C34" s="806" t="s">
        <v>77</v>
      </c>
      <c r="D34" s="807"/>
      <c r="E34" s="91">
        <v>8000</v>
      </c>
      <c r="F34" s="91">
        <v>8000</v>
      </c>
      <c r="G34" s="91">
        <v>8000</v>
      </c>
      <c r="H34" s="91">
        <v>8000</v>
      </c>
      <c r="I34" s="91">
        <v>8000</v>
      </c>
      <c r="J34" s="91">
        <v>8000</v>
      </c>
      <c r="K34" s="91">
        <v>8000</v>
      </c>
      <c r="L34" s="91">
        <v>8000</v>
      </c>
      <c r="M34" s="91">
        <v>8000</v>
      </c>
      <c r="N34" s="91">
        <v>8000</v>
      </c>
      <c r="O34" s="91">
        <v>8000</v>
      </c>
      <c r="P34" s="91">
        <v>8000</v>
      </c>
      <c r="Q34" s="93">
        <f t="shared" ref="Q34:Q46" si="1">SUM(E34+F34+G34+H34+I34+J34+K34+L34+M34+N34+O34+P34)</f>
        <v>96000</v>
      </c>
    </row>
    <row r="35" spans="3:17" ht="15.6" x14ac:dyDescent="0.3">
      <c r="C35" s="806" t="s">
        <v>73</v>
      </c>
      <c r="D35" s="807"/>
      <c r="E35" s="91">
        <v>38000</v>
      </c>
      <c r="F35" s="91">
        <v>38000</v>
      </c>
      <c r="G35" s="91">
        <v>38000</v>
      </c>
      <c r="H35" s="91">
        <v>38000</v>
      </c>
      <c r="I35" s="91">
        <v>38000</v>
      </c>
      <c r="J35" s="91">
        <v>38000</v>
      </c>
      <c r="K35" s="91">
        <v>38000</v>
      </c>
      <c r="L35" s="91">
        <v>38000</v>
      </c>
      <c r="M35" s="91">
        <v>38000</v>
      </c>
      <c r="N35" s="91">
        <v>38000</v>
      </c>
      <c r="O35" s="91">
        <v>38000</v>
      </c>
      <c r="P35" s="91">
        <v>38000</v>
      </c>
      <c r="Q35" s="93">
        <f t="shared" si="1"/>
        <v>456000</v>
      </c>
    </row>
    <row r="36" spans="3:17" ht="15.6" x14ac:dyDescent="0.3">
      <c r="C36" s="806" t="s">
        <v>78</v>
      </c>
      <c r="D36" s="807"/>
      <c r="E36" s="91">
        <v>5500</v>
      </c>
      <c r="F36" s="91">
        <v>5500</v>
      </c>
      <c r="G36" s="91">
        <v>5500</v>
      </c>
      <c r="H36" s="91">
        <v>5500</v>
      </c>
      <c r="I36" s="91">
        <v>5500</v>
      </c>
      <c r="J36" s="91">
        <v>5500</v>
      </c>
      <c r="K36" s="91">
        <v>5500</v>
      </c>
      <c r="L36" s="91">
        <v>5500</v>
      </c>
      <c r="M36" s="91">
        <v>5500</v>
      </c>
      <c r="N36" s="91">
        <v>5500</v>
      </c>
      <c r="O36" s="91">
        <v>5500</v>
      </c>
      <c r="P36" s="91">
        <v>5500</v>
      </c>
      <c r="Q36" s="93">
        <f t="shared" si="1"/>
        <v>66000</v>
      </c>
    </row>
    <row r="37" spans="3:17" ht="15.6" x14ac:dyDescent="0.3">
      <c r="C37" s="806" t="s">
        <v>72</v>
      </c>
      <c r="D37" s="807"/>
      <c r="E37" s="91">
        <v>5200</v>
      </c>
      <c r="F37" s="91">
        <v>5200</v>
      </c>
      <c r="G37" s="91">
        <v>5200</v>
      </c>
      <c r="H37" s="91">
        <v>5200</v>
      </c>
      <c r="I37" s="91">
        <v>5200</v>
      </c>
      <c r="J37" s="91">
        <v>5200</v>
      </c>
      <c r="K37" s="91">
        <v>5200</v>
      </c>
      <c r="L37" s="91">
        <v>5200</v>
      </c>
      <c r="M37" s="91">
        <v>5200</v>
      </c>
      <c r="N37" s="91">
        <v>5200</v>
      </c>
      <c r="O37" s="91">
        <v>5200</v>
      </c>
      <c r="P37" s="91">
        <v>5200</v>
      </c>
      <c r="Q37" s="93">
        <f t="shared" si="1"/>
        <v>62400</v>
      </c>
    </row>
    <row r="38" spans="3:17" ht="15.6" x14ac:dyDescent="0.3">
      <c r="C38" s="806" t="s">
        <v>87</v>
      </c>
      <c r="D38" s="807"/>
      <c r="E38" s="91">
        <v>2600</v>
      </c>
      <c r="F38" s="91">
        <v>2600</v>
      </c>
      <c r="G38" s="91">
        <v>2600</v>
      </c>
      <c r="H38" s="91">
        <v>2600</v>
      </c>
      <c r="I38" s="91">
        <v>2600</v>
      </c>
      <c r="J38" s="91">
        <v>2600</v>
      </c>
      <c r="K38" s="91">
        <v>2600</v>
      </c>
      <c r="L38" s="91">
        <v>2600</v>
      </c>
      <c r="M38" s="91">
        <v>2600</v>
      </c>
      <c r="N38" s="91">
        <v>2600</v>
      </c>
      <c r="O38" s="91">
        <v>2600</v>
      </c>
      <c r="P38" s="91">
        <v>2600</v>
      </c>
      <c r="Q38" s="93">
        <f t="shared" si="1"/>
        <v>31200</v>
      </c>
    </row>
    <row r="39" spans="3:17" ht="15.6" x14ac:dyDescent="0.3">
      <c r="C39" s="806" t="s">
        <v>74</v>
      </c>
      <c r="D39" s="807"/>
      <c r="E39" s="91">
        <v>9300</v>
      </c>
      <c r="F39" s="91">
        <v>9300</v>
      </c>
      <c r="G39" s="91">
        <v>9300</v>
      </c>
      <c r="H39" s="91">
        <v>9300</v>
      </c>
      <c r="I39" s="91">
        <v>9300</v>
      </c>
      <c r="J39" s="91">
        <v>9300</v>
      </c>
      <c r="K39" s="91">
        <v>9300</v>
      </c>
      <c r="L39" s="91">
        <v>9300</v>
      </c>
      <c r="M39" s="91">
        <v>9300</v>
      </c>
      <c r="N39" s="91">
        <v>9300</v>
      </c>
      <c r="O39" s="91">
        <v>9300</v>
      </c>
      <c r="P39" s="91">
        <v>9300</v>
      </c>
      <c r="Q39" s="93">
        <f t="shared" si="1"/>
        <v>111600</v>
      </c>
    </row>
    <row r="40" spans="3:17" ht="15.6" x14ac:dyDescent="0.3">
      <c r="C40" s="806" t="s">
        <v>79</v>
      </c>
      <c r="D40" s="807"/>
      <c r="E40" s="91">
        <v>3400</v>
      </c>
      <c r="F40" s="91">
        <v>3400</v>
      </c>
      <c r="G40" s="91">
        <v>3400</v>
      </c>
      <c r="H40" s="91">
        <v>3400</v>
      </c>
      <c r="I40" s="91">
        <v>3400</v>
      </c>
      <c r="J40" s="91">
        <v>3400</v>
      </c>
      <c r="K40" s="91">
        <v>3400</v>
      </c>
      <c r="L40" s="91">
        <v>3400</v>
      </c>
      <c r="M40" s="91">
        <v>3400</v>
      </c>
      <c r="N40" s="91">
        <v>3400</v>
      </c>
      <c r="O40" s="91">
        <v>3400</v>
      </c>
      <c r="P40" s="91">
        <v>3400</v>
      </c>
      <c r="Q40" s="93">
        <f t="shared" si="1"/>
        <v>40800</v>
      </c>
    </row>
    <row r="41" spans="3:17" ht="15.6" x14ac:dyDescent="0.3">
      <c r="C41" s="806" t="s">
        <v>80</v>
      </c>
      <c r="D41" s="807"/>
      <c r="E41" s="94">
        <v>350000</v>
      </c>
      <c r="F41" s="94">
        <v>350000</v>
      </c>
      <c r="G41" s="94">
        <v>350000</v>
      </c>
      <c r="H41" s="94">
        <v>350000</v>
      </c>
      <c r="I41" s="94">
        <v>350000</v>
      </c>
      <c r="J41" s="94">
        <v>350000</v>
      </c>
      <c r="K41" s="94">
        <v>350000</v>
      </c>
      <c r="L41" s="94">
        <v>350000</v>
      </c>
      <c r="M41" s="94">
        <v>350000</v>
      </c>
      <c r="N41" s="94">
        <v>350000</v>
      </c>
      <c r="O41" s="94">
        <v>350000</v>
      </c>
      <c r="P41" s="94">
        <v>350000</v>
      </c>
      <c r="Q41" s="93">
        <f t="shared" si="1"/>
        <v>4200000</v>
      </c>
    </row>
    <row r="42" spans="3:17" ht="15.6" x14ac:dyDescent="0.3">
      <c r="C42" s="810" t="s">
        <v>81</v>
      </c>
      <c r="D42" s="811"/>
      <c r="E42" s="91">
        <v>250000</v>
      </c>
      <c r="F42" s="91">
        <v>250000</v>
      </c>
      <c r="G42" s="91">
        <v>250000</v>
      </c>
      <c r="H42" s="91">
        <v>250000</v>
      </c>
      <c r="I42" s="91">
        <v>250000</v>
      </c>
      <c r="J42" s="91">
        <v>250000</v>
      </c>
      <c r="K42" s="91">
        <v>250000</v>
      </c>
      <c r="L42" s="91">
        <v>250000</v>
      </c>
      <c r="M42" s="91">
        <v>250000</v>
      </c>
      <c r="N42" s="91">
        <v>250000</v>
      </c>
      <c r="O42" s="91">
        <v>250000</v>
      </c>
      <c r="P42" s="91">
        <v>250000</v>
      </c>
      <c r="Q42" s="93">
        <f t="shared" si="1"/>
        <v>3000000</v>
      </c>
    </row>
    <row r="43" spans="3:17" ht="15.6" x14ac:dyDescent="0.3">
      <c r="C43" s="806" t="s">
        <v>75</v>
      </c>
      <c r="D43" s="807"/>
      <c r="E43" s="91">
        <v>210000</v>
      </c>
      <c r="F43" s="91">
        <v>210000</v>
      </c>
      <c r="G43" s="91">
        <v>210000</v>
      </c>
      <c r="H43" s="91">
        <v>210000</v>
      </c>
      <c r="I43" s="91">
        <v>210000</v>
      </c>
      <c r="J43" s="91">
        <v>210000</v>
      </c>
      <c r="K43" s="91">
        <v>210000</v>
      </c>
      <c r="L43" s="91">
        <v>210000</v>
      </c>
      <c r="M43" s="91">
        <v>210000</v>
      </c>
      <c r="N43" s="91">
        <v>210000</v>
      </c>
      <c r="O43" s="91">
        <v>210000</v>
      </c>
      <c r="P43" s="91">
        <v>210000</v>
      </c>
      <c r="Q43" s="93">
        <f t="shared" si="1"/>
        <v>2520000</v>
      </c>
    </row>
    <row r="44" spans="3:17" ht="15.6" x14ac:dyDescent="0.3">
      <c r="C44" s="806" t="s">
        <v>82</v>
      </c>
      <c r="D44" s="807"/>
      <c r="E44" s="91">
        <v>8100</v>
      </c>
      <c r="F44" s="91">
        <v>8100</v>
      </c>
      <c r="G44" s="91">
        <v>8100</v>
      </c>
      <c r="H44" s="91">
        <v>8100</v>
      </c>
      <c r="I44" s="91">
        <v>8100</v>
      </c>
      <c r="J44" s="91">
        <v>8100</v>
      </c>
      <c r="K44" s="91">
        <v>8100</v>
      </c>
      <c r="L44" s="91">
        <v>8100</v>
      </c>
      <c r="M44" s="91">
        <v>8100</v>
      </c>
      <c r="N44" s="91">
        <v>8100</v>
      </c>
      <c r="O44" s="91">
        <v>8100</v>
      </c>
      <c r="P44" s="91">
        <v>8100</v>
      </c>
      <c r="Q44" s="93">
        <f t="shared" si="1"/>
        <v>97200</v>
      </c>
    </row>
    <row r="45" spans="3:17" ht="15.6" x14ac:dyDescent="0.3">
      <c r="C45" s="806" t="s">
        <v>83</v>
      </c>
      <c r="D45" s="807"/>
      <c r="E45" s="91">
        <v>2800</v>
      </c>
      <c r="F45" s="91">
        <v>2800</v>
      </c>
      <c r="G45" s="91">
        <v>2800</v>
      </c>
      <c r="H45" s="91">
        <v>2800</v>
      </c>
      <c r="I45" s="91">
        <v>2800</v>
      </c>
      <c r="J45" s="91">
        <v>2800</v>
      </c>
      <c r="K45" s="91">
        <v>2800</v>
      </c>
      <c r="L45" s="91">
        <v>2800</v>
      </c>
      <c r="M45" s="91">
        <v>2800</v>
      </c>
      <c r="N45" s="91">
        <v>2800</v>
      </c>
      <c r="O45" s="91">
        <v>2800</v>
      </c>
      <c r="P45" s="91">
        <v>2800</v>
      </c>
      <c r="Q45" s="93">
        <f t="shared" si="1"/>
        <v>33600</v>
      </c>
    </row>
    <row r="46" spans="3:17" ht="15.6" x14ac:dyDescent="0.3">
      <c r="C46" s="806" t="s">
        <v>84</v>
      </c>
      <c r="D46" s="807"/>
      <c r="E46" s="91">
        <v>17000</v>
      </c>
      <c r="F46" s="91">
        <v>17000</v>
      </c>
      <c r="G46" s="91">
        <v>17000</v>
      </c>
      <c r="H46" s="91">
        <v>17000</v>
      </c>
      <c r="I46" s="91">
        <v>17000</v>
      </c>
      <c r="J46" s="91">
        <v>17000</v>
      </c>
      <c r="K46" s="91">
        <v>17000</v>
      </c>
      <c r="L46" s="91">
        <v>17000</v>
      </c>
      <c r="M46" s="91">
        <v>17000</v>
      </c>
      <c r="N46" s="91">
        <v>17000</v>
      </c>
      <c r="O46" s="91">
        <v>17000</v>
      </c>
      <c r="P46" s="91">
        <v>17000</v>
      </c>
      <c r="Q46" s="93">
        <f t="shared" si="1"/>
        <v>204000</v>
      </c>
    </row>
    <row r="47" spans="3:17" ht="15.6" x14ac:dyDescent="0.3">
      <c r="C47" s="808" t="s">
        <v>85</v>
      </c>
      <c r="D47" s="809"/>
      <c r="E47" s="95">
        <v>4800</v>
      </c>
      <c r="F47" s="95">
        <v>4800</v>
      </c>
      <c r="G47" s="95">
        <v>4800</v>
      </c>
      <c r="H47" s="95">
        <v>4800</v>
      </c>
      <c r="I47" s="95">
        <v>4800</v>
      </c>
      <c r="J47" s="95">
        <v>4800</v>
      </c>
      <c r="K47" s="95">
        <v>4800</v>
      </c>
      <c r="L47" s="95">
        <v>4800</v>
      </c>
      <c r="M47" s="95">
        <v>4800</v>
      </c>
      <c r="N47" s="95">
        <v>4800</v>
      </c>
      <c r="O47" s="95">
        <v>4800</v>
      </c>
      <c r="P47" s="95">
        <v>4800</v>
      </c>
      <c r="Q47" s="93">
        <f>SUM(E47+F47+G47+H47+I47+J47+K47+L47+M47+N47+O47+P47)</f>
        <v>57600</v>
      </c>
    </row>
    <row r="48" spans="3:17" ht="16.2" thickBot="1" x14ac:dyDescent="0.35">
      <c r="C48" s="812" t="s">
        <v>86</v>
      </c>
      <c r="D48" s="813"/>
      <c r="E48" s="96">
        <v>3000</v>
      </c>
      <c r="F48" s="96">
        <v>3000</v>
      </c>
      <c r="G48" s="96">
        <v>3000</v>
      </c>
      <c r="H48" s="96">
        <v>3000</v>
      </c>
      <c r="I48" s="96">
        <v>3000</v>
      </c>
      <c r="J48" s="96">
        <v>3000</v>
      </c>
      <c r="K48" s="96">
        <v>3000</v>
      </c>
      <c r="L48" s="96">
        <v>3000</v>
      </c>
      <c r="M48" s="96">
        <v>3000</v>
      </c>
      <c r="N48" s="96">
        <v>3000</v>
      </c>
      <c r="O48" s="96">
        <v>3000</v>
      </c>
      <c r="P48" s="96">
        <v>3000</v>
      </c>
      <c r="Q48" s="97">
        <f>SUM(E48+F48+G48+H48+I48+J48+K48+L48+M48+N48+O48+P48)</f>
        <v>36000</v>
      </c>
    </row>
    <row r="49" spans="3:17" ht="15.6" thickTop="1" thickBot="1" x14ac:dyDescent="0.35">
      <c r="Q49" s="92">
        <f>SUM(Q33:Q48)</f>
        <v>11972400</v>
      </c>
    </row>
    <row r="50" spans="3:17" ht="15" thickBot="1" x14ac:dyDescent="0.35"/>
    <row r="51" spans="3:17" ht="16.2" thickTop="1" x14ac:dyDescent="0.3">
      <c r="C51" s="1004" t="s">
        <v>453</v>
      </c>
      <c r="D51" s="1005"/>
      <c r="E51" s="1006" t="s">
        <v>28</v>
      </c>
      <c r="F51" s="1006" t="s">
        <v>29</v>
      </c>
      <c r="G51" s="1006" t="s">
        <v>30</v>
      </c>
      <c r="H51" s="1006" t="s">
        <v>31</v>
      </c>
      <c r="I51" s="1006" t="s">
        <v>32</v>
      </c>
      <c r="J51" s="1006" t="s">
        <v>33</v>
      </c>
      <c r="K51" s="1006" t="s">
        <v>34</v>
      </c>
      <c r="L51" s="1006" t="s">
        <v>35</v>
      </c>
      <c r="M51" s="1006" t="s">
        <v>36</v>
      </c>
      <c r="N51" s="1006" t="s">
        <v>37</v>
      </c>
      <c r="O51" s="1006" t="s">
        <v>38</v>
      </c>
      <c r="P51" s="1006" t="s">
        <v>39</v>
      </c>
      <c r="Q51" s="1007" t="s">
        <v>44</v>
      </c>
    </row>
    <row r="52" spans="3:17" ht="15.6" x14ac:dyDescent="0.3">
      <c r="C52" s="806" t="s">
        <v>76</v>
      </c>
      <c r="D52" s="807"/>
      <c r="E52" s="91">
        <v>110000</v>
      </c>
      <c r="F52" s="91">
        <v>110000</v>
      </c>
      <c r="G52" s="91">
        <v>110000</v>
      </c>
      <c r="H52" s="91">
        <v>110000</v>
      </c>
      <c r="I52" s="91">
        <v>110000</v>
      </c>
      <c r="J52" s="91">
        <v>110000</v>
      </c>
      <c r="K52" s="91">
        <v>110000</v>
      </c>
      <c r="L52" s="91">
        <v>110000</v>
      </c>
      <c r="M52" s="91">
        <v>110000</v>
      </c>
      <c r="N52" s="91">
        <v>110000</v>
      </c>
      <c r="O52" s="91">
        <v>110000</v>
      </c>
      <c r="P52" s="91">
        <v>110000</v>
      </c>
      <c r="Q52" s="93">
        <f>SUM(E52+F52+G52+H52+I52+J52+K52+L52+M52+N52+O52+P52)</f>
        <v>1320000</v>
      </c>
    </row>
    <row r="53" spans="3:17" ht="15.6" x14ac:dyDescent="0.3">
      <c r="C53" s="806" t="s">
        <v>77</v>
      </c>
      <c r="D53" s="807"/>
      <c r="E53" s="91">
        <v>9500</v>
      </c>
      <c r="F53" s="91">
        <v>9500</v>
      </c>
      <c r="G53" s="91">
        <v>9500</v>
      </c>
      <c r="H53" s="91">
        <v>9500</v>
      </c>
      <c r="I53" s="91">
        <v>9500</v>
      </c>
      <c r="J53" s="91">
        <v>9500</v>
      </c>
      <c r="K53" s="91">
        <v>9500</v>
      </c>
      <c r="L53" s="91">
        <v>9500</v>
      </c>
      <c r="M53" s="91">
        <v>9500</v>
      </c>
      <c r="N53" s="91">
        <v>9500</v>
      </c>
      <c r="O53" s="91">
        <v>9500</v>
      </c>
      <c r="P53" s="91">
        <v>9500</v>
      </c>
      <c r="Q53" s="93">
        <f t="shared" ref="Q53:Q65" si="2">SUM(E53+F53+G53+H53+I53+J53+K53+L53+M53+N53+O53+P53)</f>
        <v>114000</v>
      </c>
    </row>
    <row r="54" spans="3:17" ht="15.6" x14ac:dyDescent="0.3">
      <c r="C54" s="806" t="s">
        <v>73</v>
      </c>
      <c r="D54" s="807"/>
      <c r="E54" s="91">
        <v>47000</v>
      </c>
      <c r="F54" s="91">
        <v>47000</v>
      </c>
      <c r="G54" s="91">
        <v>47000</v>
      </c>
      <c r="H54" s="91">
        <v>47000</v>
      </c>
      <c r="I54" s="91">
        <v>47000</v>
      </c>
      <c r="J54" s="91">
        <v>47000</v>
      </c>
      <c r="K54" s="91">
        <v>47000</v>
      </c>
      <c r="L54" s="91">
        <v>47000</v>
      </c>
      <c r="M54" s="91">
        <v>47000</v>
      </c>
      <c r="N54" s="91">
        <v>47000</v>
      </c>
      <c r="O54" s="91">
        <v>47000</v>
      </c>
      <c r="P54" s="91">
        <v>47000</v>
      </c>
      <c r="Q54" s="93">
        <f t="shared" si="2"/>
        <v>564000</v>
      </c>
    </row>
    <row r="55" spans="3:17" ht="15.6" x14ac:dyDescent="0.3">
      <c r="C55" s="806" t="s">
        <v>78</v>
      </c>
      <c r="D55" s="807"/>
      <c r="E55" s="91">
        <v>6200</v>
      </c>
      <c r="F55" s="91">
        <v>6200</v>
      </c>
      <c r="G55" s="91">
        <v>6200</v>
      </c>
      <c r="H55" s="91">
        <v>6200</v>
      </c>
      <c r="I55" s="91">
        <v>6200</v>
      </c>
      <c r="J55" s="91">
        <v>6200</v>
      </c>
      <c r="K55" s="91">
        <v>6200</v>
      </c>
      <c r="L55" s="91">
        <v>6200</v>
      </c>
      <c r="M55" s="91">
        <v>6200</v>
      </c>
      <c r="N55" s="91">
        <v>6200</v>
      </c>
      <c r="O55" s="91">
        <v>6200</v>
      </c>
      <c r="P55" s="91">
        <v>6200</v>
      </c>
      <c r="Q55" s="93">
        <f t="shared" si="2"/>
        <v>74400</v>
      </c>
    </row>
    <row r="56" spans="3:17" ht="15.6" x14ac:dyDescent="0.3">
      <c r="C56" s="806" t="s">
        <v>72</v>
      </c>
      <c r="D56" s="807"/>
      <c r="E56" s="91">
        <v>5600</v>
      </c>
      <c r="F56" s="91">
        <v>5600</v>
      </c>
      <c r="G56" s="91">
        <v>5600</v>
      </c>
      <c r="H56" s="91">
        <v>5600</v>
      </c>
      <c r="I56" s="91">
        <v>5600</v>
      </c>
      <c r="J56" s="91">
        <v>5600</v>
      </c>
      <c r="K56" s="91">
        <v>5600</v>
      </c>
      <c r="L56" s="91">
        <v>5600</v>
      </c>
      <c r="M56" s="91">
        <v>5600</v>
      </c>
      <c r="N56" s="91">
        <v>5600</v>
      </c>
      <c r="O56" s="91">
        <v>5600</v>
      </c>
      <c r="P56" s="91">
        <v>5600</v>
      </c>
      <c r="Q56" s="93">
        <f t="shared" si="2"/>
        <v>67200</v>
      </c>
    </row>
    <row r="57" spans="3:17" ht="15.6" x14ac:dyDescent="0.3">
      <c r="C57" s="806" t="s">
        <v>87</v>
      </c>
      <c r="D57" s="807"/>
      <c r="E57" s="91">
        <v>3300</v>
      </c>
      <c r="F57" s="91">
        <v>3300</v>
      </c>
      <c r="G57" s="91">
        <v>3300</v>
      </c>
      <c r="H57" s="91">
        <v>3300</v>
      </c>
      <c r="I57" s="91">
        <v>3300</v>
      </c>
      <c r="J57" s="91">
        <v>3300</v>
      </c>
      <c r="K57" s="91">
        <v>3300</v>
      </c>
      <c r="L57" s="91">
        <v>3300</v>
      </c>
      <c r="M57" s="91">
        <v>3300</v>
      </c>
      <c r="N57" s="91">
        <v>3300</v>
      </c>
      <c r="O57" s="91">
        <v>3300</v>
      </c>
      <c r="P57" s="91">
        <v>3300</v>
      </c>
      <c r="Q57" s="93">
        <f t="shared" si="2"/>
        <v>39600</v>
      </c>
    </row>
    <row r="58" spans="3:17" ht="15.6" x14ac:dyDescent="0.3">
      <c r="C58" s="806" t="s">
        <v>74</v>
      </c>
      <c r="D58" s="807"/>
      <c r="E58" s="91">
        <v>11000</v>
      </c>
      <c r="F58" s="91">
        <v>11000</v>
      </c>
      <c r="G58" s="91">
        <v>11000</v>
      </c>
      <c r="H58" s="91">
        <v>11000</v>
      </c>
      <c r="I58" s="91">
        <v>11000</v>
      </c>
      <c r="J58" s="91">
        <v>11000</v>
      </c>
      <c r="K58" s="91">
        <v>11000</v>
      </c>
      <c r="L58" s="91">
        <v>11000</v>
      </c>
      <c r="M58" s="91">
        <v>11000</v>
      </c>
      <c r="N58" s="91">
        <v>11000</v>
      </c>
      <c r="O58" s="91">
        <v>11000</v>
      </c>
      <c r="P58" s="91">
        <v>11000</v>
      </c>
      <c r="Q58" s="93">
        <f t="shared" si="2"/>
        <v>132000</v>
      </c>
    </row>
    <row r="59" spans="3:17" ht="15.6" x14ac:dyDescent="0.3">
      <c r="C59" s="806" t="s">
        <v>79</v>
      </c>
      <c r="D59" s="807"/>
      <c r="E59" s="91">
        <v>3900</v>
      </c>
      <c r="F59" s="91">
        <v>3900</v>
      </c>
      <c r="G59" s="91">
        <v>3900</v>
      </c>
      <c r="H59" s="91">
        <v>3900</v>
      </c>
      <c r="I59" s="91">
        <v>3900</v>
      </c>
      <c r="J59" s="91">
        <v>3900</v>
      </c>
      <c r="K59" s="91">
        <v>3900</v>
      </c>
      <c r="L59" s="91">
        <v>3900</v>
      </c>
      <c r="M59" s="91">
        <v>3900</v>
      </c>
      <c r="N59" s="91">
        <v>3900</v>
      </c>
      <c r="O59" s="91">
        <v>3900</v>
      </c>
      <c r="P59" s="91">
        <v>3900</v>
      </c>
      <c r="Q59" s="93">
        <f t="shared" si="2"/>
        <v>46800</v>
      </c>
    </row>
    <row r="60" spans="3:17" ht="15.6" x14ac:dyDescent="0.3">
      <c r="C60" s="806" t="s">
        <v>80</v>
      </c>
      <c r="D60" s="807"/>
      <c r="E60" s="94">
        <v>520000</v>
      </c>
      <c r="F60" s="94">
        <v>520000</v>
      </c>
      <c r="G60" s="94">
        <v>520000</v>
      </c>
      <c r="H60" s="94">
        <v>520000</v>
      </c>
      <c r="I60" s="94">
        <v>520000</v>
      </c>
      <c r="J60" s="94">
        <v>520000</v>
      </c>
      <c r="K60" s="94">
        <v>520000</v>
      </c>
      <c r="L60" s="94">
        <v>520000</v>
      </c>
      <c r="M60" s="94">
        <v>520000</v>
      </c>
      <c r="N60" s="94">
        <v>520000</v>
      </c>
      <c r="O60" s="94">
        <v>520000</v>
      </c>
      <c r="P60" s="94">
        <v>520000</v>
      </c>
      <c r="Q60" s="93">
        <f t="shared" si="2"/>
        <v>6240000</v>
      </c>
    </row>
    <row r="61" spans="3:17" ht="15.6" x14ac:dyDescent="0.3">
      <c r="C61" s="810" t="s">
        <v>81</v>
      </c>
      <c r="D61" s="811"/>
      <c r="E61" s="91">
        <v>400000</v>
      </c>
      <c r="F61" s="91">
        <v>400000</v>
      </c>
      <c r="G61" s="91">
        <v>400000</v>
      </c>
      <c r="H61" s="91">
        <v>400000</v>
      </c>
      <c r="I61" s="91">
        <v>400000</v>
      </c>
      <c r="J61" s="91">
        <v>400000</v>
      </c>
      <c r="K61" s="91">
        <v>400000</v>
      </c>
      <c r="L61" s="91">
        <v>400000</v>
      </c>
      <c r="M61" s="91">
        <v>400000</v>
      </c>
      <c r="N61" s="91">
        <v>400000</v>
      </c>
      <c r="O61" s="91">
        <v>400000</v>
      </c>
      <c r="P61" s="91">
        <v>400000</v>
      </c>
      <c r="Q61" s="93">
        <f t="shared" si="2"/>
        <v>4800000</v>
      </c>
    </row>
    <row r="62" spans="3:17" ht="15.6" x14ac:dyDescent="0.3">
      <c r="C62" s="806" t="s">
        <v>75</v>
      </c>
      <c r="D62" s="807"/>
      <c r="E62" s="91">
        <v>410000</v>
      </c>
      <c r="F62" s="91">
        <v>410000</v>
      </c>
      <c r="G62" s="91">
        <v>410000</v>
      </c>
      <c r="H62" s="91">
        <v>410000</v>
      </c>
      <c r="I62" s="91">
        <v>410000</v>
      </c>
      <c r="J62" s="91">
        <v>410000</v>
      </c>
      <c r="K62" s="91">
        <v>410000</v>
      </c>
      <c r="L62" s="91">
        <v>410000</v>
      </c>
      <c r="M62" s="91">
        <v>410000</v>
      </c>
      <c r="N62" s="91">
        <v>410000</v>
      </c>
      <c r="O62" s="91">
        <v>410000</v>
      </c>
      <c r="P62" s="91">
        <v>410000</v>
      </c>
      <c r="Q62" s="93">
        <f t="shared" si="2"/>
        <v>4920000</v>
      </c>
    </row>
    <row r="63" spans="3:17" ht="15.6" x14ac:dyDescent="0.3">
      <c r="C63" s="806" t="s">
        <v>82</v>
      </c>
      <c r="D63" s="807"/>
      <c r="E63" s="91">
        <v>9000</v>
      </c>
      <c r="F63" s="91">
        <v>9000</v>
      </c>
      <c r="G63" s="91">
        <v>9000</v>
      </c>
      <c r="H63" s="91">
        <v>9000</v>
      </c>
      <c r="I63" s="91">
        <v>9000</v>
      </c>
      <c r="J63" s="91">
        <v>9000</v>
      </c>
      <c r="K63" s="91">
        <v>9000</v>
      </c>
      <c r="L63" s="91">
        <v>9000</v>
      </c>
      <c r="M63" s="91">
        <v>9000</v>
      </c>
      <c r="N63" s="91">
        <v>9000</v>
      </c>
      <c r="O63" s="91">
        <v>9000</v>
      </c>
      <c r="P63" s="91">
        <v>9000</v>
      </c>
      <c r="Q63" s="93">
        <f t="shared" si="2"/>
        <v>108000</v>
      </c>
    </row>
    <row r="64" spans="3:17" ht="15.6" x14ac:dyDescent="0.3">
      <c r="C64" s="806" t="s">
        <v>83</v>
      </c>
      <c r="D64" s="807"/>
      <c r="E64" s="91">
        <v>4200</v>
      </c>
      <c r="F64" s="91">
        <v>4200</v>
      </c>
      <c r="G64" s="91">
        <v>4200</v>
      </c>
      <c r="H64" s="91">
        <v>4200</v>
      </c>
      <c r="I64" s="91">
        <v>4200</v>
      </c>
      <c r="J64" s="91">
        <v>4200</v>
      </c>
      <c r="K64" s="91">
        <v>4200</v>
      </c>
      <c r="L64" s="91">
        <v>4200</v>
      </c>
      <c r="M64" s="91">
        <v>4200</v>
      </c>
      <c r="N64" s="91">
        <v>4200</v>
      </c>
      <c r="O64" s="91">
        <v>4200</v>
      </c>
      <c r="P64" s="91">
        <v>4200</v>
      </c>
      <c r="Q64" s="93">
        <f t="shared" si="2"/>
        <v>50400</v>
      </c>
    </row>
    <row r="65" spans="3:17" ht="15.6" x14ac:dyDescent="0.3">
      <c r="C65" s="806" t="s">
        <v>84</v>
      </c>
      <c r="D65" s="807"/>
      <c r="E65" s="91">
        <v>27000</v>
      </c>
      <c r="F65" s="91">
        <v>27000</v>
      </c>
      <c r="G65" s="91">
        <v>27000</v>
      </c>
      <c r="H65" s="91">
        <v>27000</v>
      </c>
      <c r="I65" s="91">
        <v>27000</v>
      </c>
      <c r="J65" s="91">
        <v>27000</v>
      </c>
      <c r="K65" s="91">
        <v>27000</v>
      </c>
      <c r="L65" s="91">
        <v>27000</v>
      </c>
      <c r="M65" s="91">
        <v>27000</v>
      </c>
      <c r="N65" s="91">
        <v>27000</v>
      </c>
      <c r="O65" s="91">
        <v>27000</v>
      </c>
      <c r="P65" s="91">
        <v>27000</v>
      </c>
      <c r="Q65" s="93">
        <f t="shared" si="2"/>
        <v>324000</v>
      </c>
    </row>
    <row r="66" spans="3:17" ht="15.6" x14ac:dyDescent="0.3">
      <c r="C66" s="808" t="s">
        <v>85</v>
      </c>
      <c r="D66" s="809"/>
      <c r="E66" s="95">
        <v>6000</v>
      </c>
      <c r="F66" s="95">
        <v>6000</v>
      </c>
      <c r="G66" s="95">
        <v>6000</v>
      </c>
      <c r="H66" s="95">
        <v>6000</v>
      </c>
      <c r="I66" s="95">
        <v>6000</v>
      </c>
      <c r="J66" s="95">
        <v>6000</v>
      </c>
      <c r="K66" s="95">
        <v>6000</v>
      </c>
      <c r="L66" s="95">
        <v>6000</v>
      </c>
      <c r="M66" s="95">
        <v>6000</v>
      </c>
      <c r="N66" s="95">
        <v>6000</v>
      </c>
      <c r="O66" s="95">
        <v>6000</v>
      </c>
      <c r="P66" s="95">
        <v>6000</v>
      </c>
      <c r="Q66" s="93">
        <f>SUM(E66+F66+G66+H66+I66+J66+K66+L66+M66+N66+O66+P66)</f>
        <v>72000</v>
      </c>
    </row>
    <row r="67" spans="3:17" ht="16.2" thickBot="1" x14ac:dyDescent="0.35">
      <c r="C67" s="812" t="s">
        <v>86</v>
      </c>
      <c r="D67" s="813"/>
      <c r="E67" s="96">
        <v>3500</v>
      </c>
      <c r="F67" s="96">
        <v>3500</v>
      </c>
      <c r="G67" s="96">
        <v>3500</v>
      </c>
      <c r="H67" s="96">
        <v>3500</v>
      </c>
      <c r="I67" s="96">
        <v>3500</v>
      </c>
      <c r="J67" s="96">
        <v>3500</v>
      </c>
      <c r="K67" s="96">
        <v>3500</v>
      </c>
      <c r="L67" s="96">
        <v>3500</v>
      </c>
      <c r="M67" s="96">
        <v>3500</v>
      </c>
      <c r="N67" s="96">
        <v>3500</v>
      </c>
      <c r="O67" s="96">
        <v>3500</v>
      </c>
      <c r="P67" s="96">
        <v>3500</v>
      </c>
      <c r="Q67" s="97">
        <f>SUM(E67+F67+G67+H67+I67+J67+K67+L67+M67+N67+O67+P67)</f>
        <v>42000</v>
      </c>
    </row>
    <row r="68" spans="3:17" ht="15.6" thickTop="1" thickBot="1" x14ac:dyDescent="0.35">
      <c r="Q68" s="92">
        <f>SUM(Q52:Q67)</f>
        <v>18914400</v>
      </c>
    </row>
  </sheetData>
  <mergeCells count="58">
    <mergeCell ref="C65:D65"/>
    <mergeCell ref="C66:D66"/>
    <mergeCell ref="C67:D67"/>
    <mergeCell ref="C61:D61"/>
    <mergeCell ref="C62:D62"/>
    <mergeCell ref="C63:D63"/>
    <mergeCell ref="C64:D64"/>
    <mergeCell ref="C56:D56"/>
    <mergeCell ref="C57:D57"/>
    <mergeCell ref="C58:D58"/>
    <mergeCell ref="C59:D59"/>
    <mergeCell ref="C60:D60"/>
    <mergeCell ref="C51:D51"/>
    <mergeCell ref="C52:D52"/>
    <mergeCell ref="C53:D53"/>
    <mergeCell ref="C54:D54"/>
    <mergeCell ref="C55:D55"/>
    <mergeCell ref="C45:D45"/>
    <mergeCell ref="C46:D46"/>
    <mergeCell ref="C47:D47"/>
    <mergeCell ref="C48:D48"/>
    <mergeCell ref="C41:D41"/>
    <mergeCell ref="C42:D42"/>
    <mergeCell ref="C43:D43"/>
    <mergeCell ref="C44:D44"/>
    <mergeCell ref="C36:D36"/>
    <mergeCell ref="C37:D37"/>
    <mergeCell ref="C38:D38"/>
    <mergeCell ref="C39:D39"/>
    <mergeCell ref="C40:D40"/>
    <mergeCell ref="C29:D29"/>
    <mergeCell ref="C32:D32"/>
    <mergeCell ref="C33:D33"/>
    <mergeCell ref="C34:D34"/>
    <mergeCell ref="C35:D35"/>
    <mergeCell ref="C25:D25"/>
    <mergeCell ref="C26:D26"/>
    <mergeCell ref="C27:D27"/>
    <mergeCell ref="C28:D28"/>
    <mergeCell ref="C21:D21"/>
    <mergeCell ref="C22:D22"/>
    <mergeCell ref="C23:D23"/>
    <mergeCell ref="C24:D24"/>
    <mergeCell ref="C16:D16"/>
    <mergeCell ref="C17:D17"/>
    <mergeCell ref="C18:D18"/>
    <mergeCell ref="C19:D19"/>
    <mergeCell ref="C20:D20"/>
    <mergeCell ref="E10:F10"/>
    <mergeCell ref="H6:J6"/>
    <mergeCell ref="C13:D13"/>
    <mergeCell ref="C14:D14"/>
    <mergeCell ref="C15:D15"/>
    <mergeCell ref="E1:K3"/>
    <mergeCell ref="C6:F6"/>
    <mergeCell ref="E7:F7"/>
    <mergeCell ref="E8:F8"/>
    <mergeCell ref="E9:F9"/>
  </mergeCells>
  <pageMargins left="0.7" right="0.7" top="0.75" bottom="0.75" header="0.3" footer="0.3"/>
  <drawing r:id="rId1"/>
  <legacyDrawing r:id="rId2"/>
  <controls>
    <mc:AlternateContent xmlns:mc="http://schemas.openxmlformats.org/markup-compatibility/2006">
      <mc:Choice Requires="x14">
        <control shapeId="10243" r:id="rId3" name="btnSiguiente">
          <controlPr defaultSize="0" autoLine="0" r:id="rId4">
            <anchor moveWithCells="1">
              <from>
                <xdr:col>13</xdr:col>
                <xdr:colOff>99060</xdr:colOff>
                <xdr:row>0</xdr:row>
                <xdr:rowOff>99060</xdr:rowOff>
              </from>
              <to>
                <xdr:col>14</xdr:col>
                <xdr:colOff>769620</xdr:colOff>
                <xdr:row>2</xdr:row>
                <xdr:rowOff>30480</xdr:rowOff>
              </to>
            </anchor>
          </controlPr>
        </control>
      </mc:Choice>
      <mc:Fallback>
        <control shapeId="10243" r:id="rId3" name="btnSiguiente"/>
      </mc:Fallback>
    </mc:AlternateContent>
    <mc:AlternateContent xmlns:mc="http://schemas.openxmlformats.org/markup-compatibility/2006">
      <mc:Choice Requires="x14">
        <control shapeId="10242" r:id="rId5" name="btnAnterior">
          <controlPr defaultSize="0" autoLine="0" r:id="rId6">
            <anchor moveWithCells="1">
              <from>
                <xdr:col>11</xdr:col>
                <xdr:colOff>137160</xdr:colOff>
                <xdr:row>0</xdr:row>
                <xdr:rowOff>106680</xdr:rowOff>
              </from>
              <to>
                <xdr:col>12</xdr:col>
                <xdr:colOff>784860</xdr:colOff>
                <xdr:row>2</xdr:row>
                <xdr:rowOff>38100</xdr:rowOff>
              </to>
            </anchor>
          </controlPr>
        </control>
      </mc:Choice>
      <mc:Fallback>
        <control shapeId="10242" r:id="rId5" name="btnAnterior"/>
      </mc:Fallback>
    </mc:AlternateContent>
    <mc:AlternateContent xmlns:mc="http://schemas.openxmlformats.org/markup-compatibility/2006">
      <mc:Choice Requires="x14">
        <control shapeId="10241" r:id="rId7" name="btnIndice">
          <controlPr defaultSize="0" autoLine="0" r:id="rId8">
            <anchor moveWithCells="1">
              <from>
                <xdr:col>1</xdr:col>
                <xdr:colOff>220980</xdr:colOff>
                <xdr:row>0</xdr:row>
                <xdr:rowOff>121920</xdr:rowOff>
              </from>
              <to>
                <xdr:col>3</xdr:col>
                <xdr:colOff>304800</xdr:colOff>
                <xdr:row>2</xdr:row>
                <xdr:rowOff>53340</xdr:rowOff>
              </to>
            </anchor>
          </controlPr>
        </control>
      </mc:Choice>
      <mc:Fallback>
        <control shapeId="10241" r:id="rId7" name="btnIndic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A1:AB115"/>
  <sheetViews>
    <sheetView showGridLines="0" zoomScale="70" zoomScaleNormal="70" workbookViewId="0">
      <pane xSplit="3" ySplit="1" topLeftCell="D91" activePane="bottomRight" state="frozen"/>
      <selection pane="topRight" activeCell="D1" sqref="D1"/>
      <selection pane="bottomLeft" activeCell="A2" sqref="A2"/>
      <selection pane="bottomRight" activeCell="B96" sqref="B96:AB96"/>
    </sheetView>
  </sheetViews>
  <sheetFormatPr baseColWidth="10" defaultRowHeight="14.4" x14ac:dyDescent="0.3"/>
  <cols>
    <col min="1" max="1" width="21.6640625" customWidth="1"/>
    <col min="2" max="2" width="51.33203125" customWidth="1"/>
    <col min="3" max="3" width="16" customWidth="1"/>
    <col min="4" max="4" width="18.88671875" customWidth="1"/>
    <col min="5" max="5" width="19" customWidth="1"/>
    <col min="7" max="7" width="29.6640625" customWidth="1"/>
    <col min="9" max="9" width="15.44140625" customWidth="1"/>
    <col min="10" max="10" width="29.5546875" customWidth="1"/>
    <col min="11" max="11" width="21.44140625" customWidth="1"/>
    <col min="12" max="12" width="22.109375" customWidth="1"/>
    <col min="13" max="13" width="16.6640625" customWidth="1"/>
    <col min="15" max="15" width="17.5546875" customWidth="1"/>
    <col min="17" max="17" width="17.5546875" customWidth="1"/>
    <col min="19" max="19" width="17.6640625" customWidth="1"/>
    <col min="21" max="21" width="15.5546875" customWidth="1"/>
    <col min="23" max="23" width="16.5546875" customWidth="1"/>
    <col min="25" max="25" width="16.109375" customWidth="1"/>
    <col min="27" max="27" width="17" customWidth="1"/>
    <col min="28" max="28" width="18" customWidth="1"/>
  </cols>
  <sheetData>
    <row r="1" spans="2:12" s="992" customFormat="1" ht="45.75" customHeight="1" thickBot="1" x14ac:dyDescent="0.35">
      <c r="E1" s="1008" t="s">
        <v>25</v>
      </c>
      <c r="F1" s="1008"/>
      <c r="G1" s="1008"/>
      <c r="H1" s="1008"/>
      <c r="I1" s="1008"/>
      <c r="J1" s="1008"/>
      <c r="K1" s="1008"/>
    </row>
    <row r="2" spans="2:12" ht="15.6" thickTop="1" thickBot="1" x14ac:dyDescent="0.35"/>
    <row r="3" spans="2:12" ht="16.5" customHeight="1" thickTop="1" x14ac:dyDescent="0.3">
      <c r="E3" s="580" t="s">
        <v>15</v>
      </c>
      <c r="F3" s="581"/>
      <c r="G3" s="581"/>
      <c r="H3" s="582"/>
      <c r="J3" s="580" t="s">
        <v>26</v>
      </c>
      <c r="K3" s="581"/>
      <c r="L3" s="1003"/>
    </row>
    <row r="4" spans="2:12" ht="15.6" x14ac:dyDescent="0.3">
      <c r="E4" s="17" t="s">
        <v>7</v>
      </c>
      <c r="F4" s="16" t="s">
        <v>8</v>
      </c>
      <c r="G4" s="751" t="s">
        <v>9</v>
      </c>
      <c r="H4" s="752"/>
      <c r="J4" s="17">
        <f>Hipótesis!B23</f>
        <v>2022</v>
      </c>
      <c r="K4" s="16">
        <f>Hipótesis!B24</f>
        <v>2023</v>
      </c>
      <c r="L4" s="23">
        <f>Hipótesis!B25</f>
        <v>2024</v>
      </c>
    </row>
    <row r="5" spans="2:12" ht="16.2" thickBot="1" x14ac:dyDescent="0.35">
      <c r="E5" s="18">
        <f>Hipótesis!B23</f>
        <v>2022</v>
      </c>
      <c r="F5" s="14">
        <f>Hipótesis!C23</f>
        <v>0.03</v>
      </c>
      <c r="G5" s="753">
        <f>Hipótesis!D23</f>
        <v>72000000</v>
      </c>
      <c r="H5" s="754"/>
      <c r="J5" s="204">
        <f>AB70</f>
        <v>9615240</v>
      </c>
      <c r="K5" s="205">
        <f>AB92</f>
        <v>18133720</v>
      </c>
      <c r="L5" s="24">
        <f>AB114</f>
        <v>27417700</v>
      </c>
    </row>
    <row r="6" spans="2:12" ht="16.2" thickTop="1" x14ac:dyDescent="0.3">
      <c r="E6" s="18">
        <f>Hipótesis!B24</f>
        <v>2023</v>
      </c>
      <c r="F6" s="14">
        <f>Hipótesis!C24</f>
        <v>0.06</v>
      </c>
      <c r="G6" s="753">
        <f>Hipótesis!D24</f>
        <v>144000000</v>
      </c>
      <c r="H6" s="754"/>
    </row>
    <row r="7" spans="2:12" ht="16.2" thickBot="1" x14ac:dyDescent="0.35">
      <c r="E7" s="19">
        <f>Hipótesis!B25</f>
        <v>2024</v>
      </c>
      <c r="F7" s="20">
        <f>Hipótesis!C25</f>
        <v>0.1</v>
      </c>
      <c r="G7" s="755">
        <f>Hipótesis!D25</f>
        <v>240000000</v>
      </c>
      <c r="H7" s="756"/>
    </row>
    <row r="8" spans="2:12" ht="16.8" thickTop="1" thickBot="1" x14ac:dyDescent="0.35">
      <c r="E8" s="198"/>
      <c r="F8" s="199"/>
      <c r="G8" s="200"/>
      <c r="H8" s="200"/>
    </row>
    <row r="9" spans="2:12" ht="26.4" thickTop="1" x14ac:dyDescent="0.5">
      <c r="B9" s="1009" t="s">
        <v>61</v>
      </c>
      <c r="C9" s="1010"/>
      <c r="D9" s="1010"/>
      <c r="E9" s="1011"/>
      <c r="F9" s="199"/>
      <c r="G9" s="200"/>
      <c r="H9" s="200"/>
    </row>
    <row r="10" spans="2:12" ht="25.8" x14ac:dyDescent="0.5">
      <c r="B10" s="1012" t="s">
        <v>216</v>
      </c>
      <c r="C10" s="1013"/>
      <c r="D10" s="1013"/>
      <c r="E10" s="1014"/>
      <c r="F10" s="199"/>
      <c r="G10" s="200"/>
      <c r="H10" s="200"/>
    </row>
    <row r="11" spans="2:12" ht="15.6" x14ac:dyDescent="0.3">
      <c r="B11" s="1015" t="s">
        <v>27</v>
      </c>
      <c r="C11" s="1016" t="s">
        <v>42</v>
      </c>
      <c r="D11" s="1016" t="s">
        <v>41</v>
      </c>
      <c r="E11" s="1017" t="s">
        <v>62</v>
      </c>
      <c r="F11" s="199"/>
      <c r="G11" s="200"/>
      <c r="H11" s="200"/>
    </row>
    <row r="12" spans="2:12" ht="15.6" x14ac:dyDescent="0.3">
      <c r="B12" s="63" t="s">
        <v>63</v>
      </c>
      <c r="C12" s="61">
        <v>1</v>
      </c>
      <c r="D12" s="70">
        <v>50000</v>
      </c>
      <c r="E12" s="62">
        <f>C12*D12</f>
        <v>50000</v>
      </c>
      <c r="F12" s="199"/>
      <c r="G12" s="200"/>
      <c r="H12" s="200"/>
    </row>
    <row r="13" spans="2:12" ht="15.6" x14ac:dyDescent="0.3">
      <c r="B13" s="63" t="s">
        <v>64</v>
      </c>
      <c r="C13" s="61">
        <v>1</v>
      </c>
      <c r="D13" s="70">
        <v>15000</v>
      </c>
      <c r="E13" s="62">
        <f>C13*D13</f>
        <v>15000</v>
      </c>
      <c r="F13" s="199"/>
      <c r="G13" s="200"/>
      <c r="H13" s="200"/>
    </row>
    <row r="14" spans="2:12" ht="16.2" thickBot="1" x14ac:dyDescent="0.35">
      <c r="B14" s="64" t="s">
        <v>65</v>
      </c>
      <c r="C14" s="65">
        <v>1</v>
      </c>
      <c r="D14" s="70">
        <v>10000</v>
      </c>
      <c r="E14" s="62">
        <f>C14*D14</f>
        <v>10000</v>
      </c>
      <c r="F14" s="199"/>
      <c r="G14" s="200"/>
      <c r="H14" s="200"/>
    </row>
    <row r="15" spans="2:12" ht="16.8" thickTop="1" thickBot="1" x14ac:dyDescent="0.35">
      <c r="B15" s="25"/>
      <c r="C15" s="25"/>
      <c r="D15" s="67" t="s">
        <v>9</v>
      </c>
      <c r="E15" s="68">
        <f>SUM(E12:E14)</f>
        <v>75000</v>
      </c>
      <c r="F15" s="199"/>
      <c r="G15" s="200"/>
      <c r="H15" s="200"/>
    </row>
    <row r="16" spans="2:12" ht="15.6" thickTop="1" thickBot="1" x14ac:dyDescent="0.35"/>
    <row r="17" spans="2:10" ht="26.4" thickTop="1" x14ac:dyDescent="0.5">
      <c r="B17" s="1018" t="s">
        <v>217</v>
      </c>
      <c r="C17" s="1019"/>
      <c r="D17" s="1019"/>
      <c r="E17" s="1020"/>
    </row>
    <row r="18" spans="2:10" ht="25.8" x14ac:dyDescent="0.5">
      <c r="B18" s="831" t="s">
        <v>207</v>
      </c>
      <c r="C18" s="832"/>
      <c r="D18" s="832"/>
      <c r="E18" s="833"/>
    </row>
    <row r="19" spans="2:10" ht="15.6" x14ac:dyDescent="0.3">
      <c r="B19" s="1021" t="s">
        <v>27</v>
      </c>
      <c r="C19" s="1022" t="s">
        <v>42</v>
      </c>
      <c r="D19" s="1022" t="s">
        <v>41</v>
      </c>
      <c r="E19" s="1023" t="s">
        <v>62</v>
      </c>
    </row>
    <row r="20" spans="2:10" ht="37.5" customHeight="1" x14ac:dyDescent="0.3">
      <c r="B20" s="197" t="s">
        <v>220</v>
      </c>
      <c r="C20" s="61">
        <v>2</v>
      </c>
      <c r="D20" s="70">
        <v>420</v>
      </c>
      <c r="E20" s="62">
        <f t="shared" ref="E20:E25" si="0">C20*D20</f>
        <v>840</v>
      </c>
    </row>
    <row r="21" spans="2:10" ht="42.75" customHeight="1" x14ac:dyDescent="0.3">
      <c r="B21" s="197" t="s">
        <v>219</v>
      </c>
      <c r="C21" s="61">
        <v>2</v>
      </c>
      <c r="D21" s="70">
        <v>300</v>
      </c>
      <c r="E21" s="62">
        <f t="shared" si="0"/>
        <v>600</v>
      </c>
    </row>
    <row r="22" spans="2:10" ht="32.25" customHeight="1" x14ac:dyDescent="0.3">
      <c r="B22" s="197" t="s">
        <v>221</v>
      </c>
      <c r="C22" s="61">
        <v>2</v>
      </c>
      <c r="D22" s="70">
        <v>1000</v>
      </c>
      <c r="E22" s="62">
        <f t="shared" si="0"/>
        <v>2000</v>
      </c>
    </row>
    <row r="23" spans="2:10" x14ac:dyDescent="0.3">
      <c r="B23" s="63" t="s">
        <v>218</v>
      </c>
      <c r="C23" s="61">
        <v>2000</v>
      </c>
      <c r="D23" s="70">
        <v>0.6</v>
      </c>
      <c r="E23" s="62">
        <f t="shared" si="0"/>
        <v>1200</v>
      </c>
    </row>
    <row r="24" spans="2:10" x14ac:dyDescent="0.3">
      <c r="B24" s="63" t="s">
        <v>54</v>
      </c>
      <c r="C24" s="61">
        <v>500</v>
      </c>
      <c r="D24" s="70">
        <v>25</v>
      </c>
      <c r="E24" s="62">
        <f t="shared" si="0"/>
        <v>12500</v>
      </c>
    </row>
    <row r="25" spans="2:10" ht="15" thickBot="1" x14ac:dyDescent="0.35">
      <c r="B25" s="64" t="s">
        <v>55</v>
      </c>
      <c r="C25" s="65">
        <v>5</v>
      </c>
      <c r="D25" s="71">
        <v>100</v>
      </c>
      <c r="E25" s="66">
        <f t="shared" si="0"/>
        <v>500</v>
      </c>
    </row>
    <row r="26" spans="2:10" ht="16.8" thickTop="1" thickBot="1" x14ac:dyDescent="0.35">
      <c r="B26" s="25"/>
      <c r="C26" s="25"/>
      <c r="D26" s="67" t="s">
        <v>9</v>
      </c>
      <c r="E26" s="68">
        <f>SUM(E20:E25)</f>
        <v>17640</v>
      </c>
    </row>
    <row r="27" spans="2:10" ht="15.6" thickTop="1" thickBot="1" x14ac:dyDescent="0.35"/>
    <row r="28" spans="2:10" ht="26.4" thickTop="1" x14ac:dyDescent="0.5">
      <c r="B28" s="1024" t="s">
        <v>217</v>
      </c>
      <c r="C28" s="1025"/>
      <c r="D28" s="1025"/>
      <c r="E28" s="1026"/>
      <c r="G28" s="823"/>
      <c r="H28" s="824"/>
      <c r="I28" s="824"/>
      <c r="J28" s="825"/>
    </row>
    <row r="29" spans="2:10" ht="25.8" x14ac:dyDescent="0.5">
      <c r="B29" s="834" t="s">
        <v>467</v>
      </c>
      <c r="C29" s="835"/>
      <c r="D29" s="835"/>
      <c r="E29" s="836"/>
      <c r="G29" s="826"/>
      <c r="H29" s="557"/>
      <c r="I29" s="557"/>
      <c r="J29" s="827"/>
    </row>
    <row r="30" spans="2:10" ht="16.2" thickBot="1" x14ac:dyDescent="0.35">
      <c r="B30" s="1021" t="s">
        <v>27</v>
      </c>
      <c r="C30" s="1022" t="s">
        <v>42</v>
      </c>
      <c r="D30" s="1022" t="s">
        <v>41</v>
      </c>
      <c r="E30" s="1023" t="s">
        <v>62</v>
      </c>
      <c r="G30" s="828"/>
      <c r="H30" s="829"/>
      <c r="I30" s="829"/>
      <c r="J30" s="830"/>
    </row>
    <row r="31" spans="2:10" ht="28.8" customHeight="1" thickTop="1" x14ac:dyDescent="0.3">
      <c r="B31" s="197" t="s">
        <v>222</v>
      </c>
      <c r="C31" s="61">
        <v>3</v>
      </c>
      <c r="D31" s="70">
        <v>420</v>
      </c>
      <c r="E31" s="62">
        <f t="shared" ref="E31:E36" si="1">C31*D31</f>
        <v>1260</v>
      </c>
    </row>
    <row r="32" spans="2:10" x14ac:dyDescent="0.3">
      <c r="B32" s="197" t="s">
        <v>219</v>
      </c>
      <c r="C32" s="61">
        <v>3</v>
      </c>
      <c r="D32" s="70">
        <v>300</v>
      </c>
      <c r="E32" s="62">
        <f t="shared" si="1"/>
        <v>900</v>
      </c>
    </row>
    <row r="33" spans="2:5" x14ac:dyDescent="0.3">
      <c r="B33" s="197" t="s">
        <v>221</v>
      </c>
      <c r="C33" s="61">
        <v>3</v>
      </c>
      <c r="D33" s="70">
        <v>1000</v>
      </c>
      <c r="E33" s="62">
        <f t="shared" si="1"/>
        <v>3000</v>
      </c>
    </row>
    <row r="34" spans="2:5" x14ac:dyDescent="0.3">
      <c r="B34" s="63" t="s">
        <v>218</v>
      </c>
      <c r="C34" s="61">
        <v>2300</v>
      </c>
      <c r="D34" s="70">
        <v>0.6</v>
      </c>
      <c r="E34" s="62">
        <f t="shared" si="1"/>
        <v>1380</v>
      </c>
    </row>
    <row r="35" spans="2:5" x14ac:dyDescent="0.3">
      <c r="B35" s="63" t="s">
        <v>54</v>
      </c>
      <c r="C35" s="61">
        <v>500</v>
      </c>
      <c r="D35" s="70">
        <v>25</v>
      </c>
      <c r="E35" s="62">
        <f t="shared" si="1"/>
        <v>12500</v>
      </c>
    </row>
    <row r="36" spans="2:5" ht="15" thickBot="1" x14ac:dyDescent="0.35">
      <c r="B36" s="64" t="s">
        <v>55</v>
      </c>
      <c r="C36" s="65">
        <v>8</v>
      </c>
      <c r="D36" s="71">
        <v>200</v>
      </c>
      <c r="E36" s="66">
        <f t="shared" si="1"/>
        <v>1600</v>
      </c>
    </row>
    <row r="37" spans="2:5" ht="16.8" thickTop="1" thickBot="1" x14ac:dyDescent="0.35">
      <c r="B37" s="25"/>
      <c r="C37" s="25"/>
      <c r="D37" s="67" t="s">
        <v>9</v>
      </c>
      <c r="E37" s="68">
        <f>SUM(E31:E36)</f>
        <v>20640</v>
      </c>
    </row>
    <row r="38" spans="2:5" ht="21" customHeight="1" thickTop="1" thickBot="1" x14ac:dyDescent="0.35"/>
    <row r="39" spans="2:5" ht="23.25" customHeight="1" thickTop="1" x14ac:dyDescent="0.5">
      <c r="B39" s="1024" t="s">
        <v>217</v>
      </c>
      <c r="C39" s="1025"/>
      <c r="D39" s="1025"/>
      <c r="E39" s="1026"/>
    </row>
    <row r="40" spans="2:5" ht="28.5" customHeight="1" x14ac:dyDescent="0.5">
      <c r="B40" s="837" t="s">
        <v>468</v>
      </c>
      <c r="C40" s="838"/>
      <c r="D40" s="838"/>
      <c r="E40" s="839"/>
    </row>
    <row r="41" spans="2:5" ht="18.75" customHeight="1" x14ac:dyDescent="0.3">
      <c r="B41" s="1021" t="s">
        <v>27</v>
      </c>
      <c r="C41" s="1022" t="s">
        <v>42</v>
      </c>
      <c r="D41" s="1022" t="s">
        <v>41</v>
      </c>
      <c r="E41" s="1023" t="s">
        <v>62</v>
      </c>
    </row>
    <row r="42" spans="2:5" ht="31.5" customHeight="1" x14ac:dyDescent="0.3">
      <c r="B42" s="197" t="s">
        <v>220</v>
      </c>
      <c r="C42" s="61">
        <v>2</v>
      </c>
      <c r="D42" s="70">
        <v>420</v>
      </c>
      <c r="E42" s="62">
        <f t="shared" ref="E42:E47" si="2">C42*D42</f>
        <v>840</v>
      </c>
    </row>
    <row r="43" spans="2:5" ht="31.5" customHeight="1" x14ac:dyDescent="0.3">
      <c r="B43" s="197" t="s">
        <v>219</v>
      </c>
      <c r="C43" s="61">
        <v>1</v>
      </c>
      <c r="D43" s="70">
        <v>300</v>
      </c>
      <c r="E43" s="62">
        <f t="shared" si="2"/>
        <v>300</v>
      </c>
    </row>
    <row r="44" spans="2:5" ht="34.5" customHeight="1" x14ac:dyDescent="0.3">
      <c r="B44" s="197" t="s">
        <v>221</v>
      </c>
      <c r="C44" s="61">
        <v>2</v>
      </c>
      <c r="D44" s="70">
        <v>1000</v>
      </c>
      <c r="E44" s="62">
        <f t="shared" si="2"/>
        <v>2000</v>
      </c>
    </row>
    <row r="45" spans="2:5" ht="18.75" customHeight="1" x14ac:dyDescent="0.3">
      <c r="B45" s="63" t="s">
        <v>218</v>
      </c>
      <c r="C45" s="61">
        <v>1000</v>
      </c>
      <c r="D45" s="70">
        <v>0.6</v>
      </c>
      <c r="E45" s="62">
        <f t="shared" si="2"/>
        <v>600</v>
      </c>
    </row>
    <row r="46" spans="2:5" ht="18.75" customHeight="1" x14ac:dyDescent="0.3">
      <c r="B46" s="63" t="s">
        <v>54</v>
      </c>
      <c r="C46" s="61">
        <v>500</v>
      </c>
      <c r="D46" s="70">
        <v>25</v>
      </c>
      <c r="E46" s="62">
        <f t="shared" si="2"/>
        <v>12500</v>
      </c>
    </row>
    <row r="47" spans="2:5" ht="18.75" customHeight="1" thickBot="1" x14ac:dyDescent="0.35">
      <c r="B47" s="64" t="s">
        <v>55</v>
      </c>
      <c r="C47" s="65">
        <v>5</v>
      </c>
      <c r="D47" s="71">
        <v>100</v>
      </c>
      <c r="E47" s="66">
        <f t="shared" si="2"/>
        <v>500</v>
      </c>
    </row>
    <row r="48" spans="2:5" ht="18.75" customHeight="1" thickTop="1" thickBot="1" x14ac:dyDescent="0.35">
      <c r="B48" s="25"/>
      <c r="C48" s="25"/>
      <c r="D48" s="67" t="s">
        <v>9</v>
      </c>
      <c r="E48" s="68">
        <f>SUM(E42:E47)</f>
        <v>16740</v>
      </c>
    </row>
    <row r="49" spans="1:28" ht="18.75" customHeight="1" thickTop="1" x14ac:dyDescent="0.3"/>
    <row r="51" spans="1:28" ht="15.75" customHeight="1" thickBot="1" x14ac:dyDescent="0.35"/>
    <row r="52" spans="1:28" ht="36" customHeight="1" thickTop="1" x14ac:dyDescent="0.5">
      <c r="A52" s="72"/>
      <c r="B52" s="1027" t="s">
        <v>97</v>
      </c>
      <c r="C52" s="1028"/>
      <c r="D52" s="1028"/>
      <c r="E52" s="1028"/>
      <c r="F52" s="1028"/>
      <c r="G52" s="1028"/>
      <c r="H52" s="1028"/>
      <c r="I52" s="1028"/>
      <c r="J52" s="1028"/>
      <c r="K52" s="1028"/>
      <c r="L52" s="1028"/>
      <c r="M52" s="1028"/>
      <c r="N52" s="1028"/>
      <c r="O52" s="1028"/>
      <c r="P52" s="1028"/>
      <c r="Q52" s="1028"/>
      <c r="R52" s="1028"/>
      <c r="S52" s="1028"/>
      <c r="T52" s="1028"/>
      <c r="U52" s="1028"/>
      <c r="V52" s="1028"/>
      <c r="W52" s="1028"/>
      <c r="X52" s="1028"/>
      <c r="Y52" s="1028"/>
      <c r="Z52" s="1028"/>
      <c r="AA52" s="1028"/>
      <c r="AB52" s="1029"/>
    </row>
    <row r="53" spans="1:28" ht="15" thickBot="1" x14ac:dyDescent="0.35">
      <c r="A53" s="110"/>
      <c r="B53" s="818" t="s">
        <v>27</v>
      </c>
      <c r="C53" s="819"/>
      <c r="D53" s="819" t="s">
        <v>28</v>
      </c>
      <c r="E53" s="819"/>
      <c r="F53" s="101" t="s">
        <v>29</v>
      </c>
      <c r="G53" s="101"/>
      <c r="H53" s="819" t="s">
        <v>30</v>
      </c>
      <c r="I53" s="819"/>
      <c r="J53" s="101" t="s">
        <v>31</v>
      </c>
      <c r="K53" s="101"/>
      <c r="L53" s="819" t="s">
        <v>32</v>
      </c>
      <c r="M53" s="819"/>
      <c r="N53" s="819" t="s">
        <v>33</v>
      </c>
      <c r="O53" s="819"/>
      <c r="P53" s="819" t="s">
        <v>34</v>
      </c>
      <c r="Q53" s="819"/>
      <c r="R53" s="819" t="s">
        <v>35</v>
      </c>
      <c r="S53" s="819"/>
      <c r="T53" s="819" t="s">
        <v>36</v>
      </c>
      <c r="U53" s="819"/>
      <c r="V53" s="819" t="s">
        <v>37</v>
      </c>
      <c r="W53" s="819"/>
      <c r="X53" s="819" t="s">
        <v>38</v>
      </c>
      <c r="Y53" s="819"/>
      <c r="Z53" s="819" t="s">
        <v>39</v>
      </c>
      <c r="AA53" s="819"/>
      <c r="AB53" s="821" t="s">
        <v>9</v>
      </c>
    </row>
    <row r="54" spans="1:28" ht="15.6" thickTop="1" thickBot="1" x14ac:dyDescent="0.35">
      <c r="A54" s="111" t="s">
        <v>66</v>
      </c>
      <c r="B54" s="112" t="s">
        <v>40</v>
      </c>
      <c r="C54" s="102" t="s">
        <v>41</v>
      </c>
      <c r="D54" s="102" t="s">
        <v>42</v>
      </c>
      <c r="E54" s="102" t="s">
        <v>43</v>
      </c>
      <c r="F54" s="102" t="s">
        <v>42</v>
      </c>
      <c r="G54" s="102" t="s">
        <v>43</v>
      </c>
      <c r="H54" s="102" t="s">
        <v>42</v>
      </c>
      <c r="I54" s="102" t="s">
        <v>43</v>
      </c>
      <c r="J54" s="102" t="s">
        <v>42</v>
      </c>
      <c r="K54" s="102" t="s">
        <v>43</v>
      </c>
      <c r="L54" s="102" t="s">
        <v>42</v>
      </c>
      <c r="M54" s="102" t="s">
        <v>43</v>
      </c>
      <c r="N54" s="102" t="s">
        <v>42</v>
      </c>
      <c r="O54" s="102" t="s">
        <v>43</v>
      </c>
      <c r="P54" s="102" t="s">
        <v>42</v>
      </c>
      <c r="Q54" s="102" t="s">
        <v>43</v>
      </c>
      <c r="R54" s="102" t="s">
        <v>42</v>
      </c>
      <c r="S54" s="102" t="s">
        <v>43</v>
      </c>
      <c r="T54" s="102" t="s">
        <v>42</v>
      </c>
      <c r="U54" s="102" t="s">
        <v>43</v>
      </c>
      <c r="V54" s="102" t="s">
        <v>42</v>
      </c>
      <c r="W54" s="102" t="s">
        <v>43</v>
      </c>
      <c r="X54" s="102" t="s">
        <v>42</v>
      </c>
      <c r="Y54" s="102" t="s">
        <v>43</v>
      </c>
      <c r="Z54" s="102" t="s">
        <v>42</v>
      </c>
      <c r="AA54" s="102" t="s">
        <v>43</v>
      </c>
      <c r="AB54" s="822"/>
    </row>
    <row r="55" spans="1:28" ht="15.6" thickTop="1" thickBot="1" x14ac:dyDescent="0.35">
      <c r="A55" s="113" t="s">
        <v>109</v>
      </c>
      <c r="B55" s="114" t="s">
        <v>94</v>
      </c>
      <c r="C55" s="118">
        <v>25</v>
      </c>
      <c r="D55" s="109">
        <f>'Proyección de ventas'!E47 + 'Proyección de ventas'!E48 + 'Proyección de ventas'!E49</f>
        <v>112</v>
      </c>
      <c r="E55" s="118">
        <f>C55*(SUM('Proyección de ventas'!E47:E49))</f>
        <v>2800</v>
      </c>
      <c r="F55" s="109">
        <f>'Proyección de ventas'!G47 + 'Proyección de ventas'!G48 + 'Proyección de ventas'!G49</f>
        <v>112</v>
      </c>
      <c r="G55" s="118">
        <f>C55*(SUM('Proyección de ventas'!G47:G49))</f>
        <v>2800</v>
      </c>
      <c r="H55" s="109">
        <f>'Proyección de ventas'!I47 + 'Proyección de ventas'!I48 + 'Proyección de ventas'!I49</f>
        <v>112</v>
      </c>
      <c r="I55" s="118">
        <f>C55*(SUM('Proyección de ventas'!I47:I49))</f>
        <v>2800</v>
      </c>
      <c r="J55" s="109">
        <f>'Proyección de ventas'!K47 + 'Proyección de ventas'!K48 + 'Proyección de ventas'!K49</f>
        <v>112</v>
      </c>
      <c r="K55" s="118">
        <f>C55*(SUM('Proyección de ventas'!K47:K49))</f>
        <v>2800</v>
      </c>
      <c r="L55" s="109">
        <f>'Proyección de ventas'!M47 + 'Proyección de ventas'!M48 + 'Proyección de ventas'!M49</f>
        <v>112</v>
      </c>
      <c r="M55" s="118">
        <f>C55*(SUM('Proyección de ventas'!M47:M49))</f>
        <v>2800</v>
      </c>
      <c r="N55" s="109">
        <f>'Proyección de ventas'!O47 + 'Proyección de ventas'!O48 + 'Proyección de ventas'!O49</f>
        <v>112</v>
      </c>
      <c r="O55" s="118">
        <f>C55*(SUM('Proyección de ventas'!O47:O49))</f>
        <v>2800</v>
      </c>
      <c r="P55" s="109">
        <f>'Proyección de ventas'!Q47 + 'Proyección de ventas'!Q48 + 'Proyección de ventas'!Q49</f>
        <v>112</v>
      </c>
      <c r="Q55" s="118">
        <f>C55*(SUM('Proyección de ventas'!Q47:Q49))</f>
        <v>2800</v>
      </c>
      <c r="R55" s="109">
        <f>'Proyección de ventas'!S47 + 'Proyección de ventas'!S48 + 'Proyección de ventas'!S49</f>
        <v>112</v>
      </c>
      <c r="S55" s="118">
        <f>C55*(SUM('Proyección de ventas'!S47:S49))</f>
        <v>2800</v>
      </c>
      <c r="T55" s="109">
        <f>'Proyección de ventas'!U47 + 'Proyección de ventas'!U48 + 'Proyección de ventas'!U49</f>
        <v>112</v>
      </c>
      <c r="U55" s="118">
        <f>C55*(SUM('Proyección de ventas'!U47:U49))</f>
        <v>2800</v>
      </c>
      <c r="V55" s="109">
        <f>'Proyección de ventas'!W47 + 'Proyección de ventas'!W48 + 'Proyección de ventas'!W49</f>
        <v>112</v>
      </c>
      <c r="W55" s="118">
        <f>C55*(SUM('Proyección de ventas'!W47:W49))</f>
        <v>2800</v>
      </c>
      <c r="X55" s="109">
        <f>'Proyección de ventas'!Y47 + 'Proyección de ventas'!Y48 + 'Proyección de ventas'!Y49</f>
        <v>140</v>
      </c>
      <c r="Y55" s="118">
        <f>C55*(SUM('Proyección de ventas'!Y47:Y49))</f>
        <v>3500</v>
      </c>
      <c r="Z55" s="109">
        <f>'Proyección de ventas'!AA47 + 'Proyección de ventas'!AA48 + 'Proyección de ventas'!AA49</f>
        <v>140</v>
      </c>
      <c r="AA55" s="118">
        <f>C55*(SUM('Proyección de ventas'!AA47:AA49))</f>
        <v>3500</v>
      </c>
      <c r="AB55" s="126">
        <f t="shared" ref="AB55:AB59" si="3">E55 + G55 +I55 +K55 + M55 + O55 + Q55 + S55 + U55 + W55 + Y55 + AA55</f>
        <v>35000</v>
      </c>
    </row>
    <row r="56" spans="1:28" ht="15.6" thickTop="1" thickBot="1" x14ac:dyDescent="0.35">
      <c r="A56" s="820" t="s">
        <v>45</v>
      </c>
      <c r="B56" s="115" t="str">
        <f>B10</f>
        <v>Gastos costos variables planilla de mantenimientos</v>
      </c>
      <c r="C56" s="119">
        <f>E15</f>
        <v>75000</v>
      </c>
      <c r="D56" s="116">
        <v>1</v>
      </c>
      <c r="E56" s="123">
        <f t="shared" ref="E56:E59" si="4">C56*D56</f>
        <v>75000</v>
      </c>
      <c r="F56" s="116">
        <v>1</v>
      </c>
      <c r="G56" s="123">
        <f t="shared" ref="G56:G59" si="5">C56*F56</f>
        <v>75000</v>
      </c>
      <c r="H56" s="116">
        <v>1</v>
      </c>
      <c r="I56" s="123">
        <f t="shared" ref="I56:I59" si="6">C56*H56</f>
        <v>75000</v>
      </c>
      <c r="J56" s="116">
        <v>1</v>
      </c>
      <c r="K56" s="123">
        <f t="shared" ref="K56:K59" si="7">C56*J56</f>
        <v>75000</v>
      </c>
      <c r="L56" s="116">
        <v>1</v>
      </c>
      <c r="M56" s="123">
        <f t="shared" ref="M56:M59" si="8">C56*L56</f>
        <v>75000</v>
      </c>
      <c r="N56" s="116">
        <v>1</v>
      </c>
      <c r="O56" s="123">
        <f t="shared" ref="O56:O59" si="9">C56*N56</f>
        <v>75000</v>
      </c>
      <c r="P56" s="116">
        <v>1</v>
      </c>
      <c r="Q56" s="123">
        <f t="shared" ref="Q56:Q59" si="10">C56*P56</f>
        <v>75000</v>
      </c>
      <c r="R56" s="116">
        <v>1</v>
      </c>
      <c r="S56" s="123">
        <f t="shared" ref="S56:S59" si="11">C56*R56</f>
        <v>75000</v>
      </c>
      <c r="T56" s="116">
        <v>1</v>
      </c>
      <c r="U56" s="123">
        <f t="shared" ref="U56:U59" si="12">C56*T56</f>
        <v>75000</v>
      </c>
      <c r="V56" s="116">
        <v>1</v>
      </c>
      <c r="W56" s="123">
        <f t="shared" ref="W56:W59" si="13">C56*V56</f>
        <v>75000</v>
      </c>
      <c r="X56" s="116">
        <v>2</v>
      </c>
      <c r="Y56" s="123">
        <f t="shared" ref="Y56:Y59" si="14">C56*X56</f>
        <v>150000</v>
      </c>
      <c r="Z56" s="116">
        <v>2</v>
      </c>
      <c r="AA56" s="123">
        <f t="shared" ref="AA56:AA59" si="15">C56*Z56</f>
        <v>150000</v>
      </c>
      <c r="AB56" s="123">
        <f t="shared" si="3"/>
        <v>1050000</v>
      </c>
    </row>
    <row r="57" spans="1:28" ht="15.6" thickTop="1" thickBot="1" x14ac:dyDescent="0.35">
      <c r="A57" s="820"/>
      <c r="B57" s="201" t="str">
        <f>B18</f>
        <v>MODELO: Liviana</v>
      </c>
      <c r="C57" s="202">
        <f>E26</f>
        <v>17640</v>
      </c>
      <c r="D57" s="203">
        <v>1</v>
      </c>
      <c r="E57" s="124">
        <f t="shared" si="4"/>
        <v>17640</v>
      </c>
      <c r="F57" s="203">
        <v>1</v>
      </c>
      <c r="G57" s="124">
        <f t="shared" si="5"/>
        <v>17640</v>
      </c>
      <c r="H57" s="203">
        <v>1</v>
      </c>
      <c r="I57" s="124">
        <f t="shared" si="6"/>
        <v>17640</v>
      </c>
      <c r="J57" s="203">
        <v>1</v>
      </c>
      <c r="K57" s="124">
        <f t="shared" si="7"/>
        <v>17640</v>
      </c>
      <c r="L57" s="203">
        <v>1</v>
      </c>
      <c r="M57" s="124">
        <f t="shared" si="8"/>
        <v>17640</v>
      </c>
      <c r="N57" s="203">
        <v>1</v>
      </c>
      <c r="O57" s="124">
        <f t="shared" si="9"/>
        <v>17640</v>
      </c>
      <c r="P57" s="203">
        <v>1</v>
      </c>
      <c r="Q57" s="124">
        <f t="shared" si="10"/>
        <v>17640</v>
      </c>
      <c r="R57" s="203">
        <v>1</v>
      </c>
      <c r="S57" s="124">
        <f t="shared" si="11"/>
        <v>17640</v>
      </c>
      <c r="T57" s="203">
        <v>1</v>
      </c>
      <c r="U57" s="124">
        <f t="shared" si="12"/>
        <v>17640</v>
      </c>
      <c r="V57" s="203">
        <v>1</v>
      </c>
      <c r="W57" s="124">
        <f t="shared" si="13"/>
        <v>17640</v>
      </c>
      <c r="X57" s="203">
        <v>1</v>
      </c>
      <c r="Y57" s="124">
        <f t="shared" si="14"/>
        <v>17640</v>
      </c>
      <c r="Z57" s="203">
        <v>1</v>
      </c>
      <c r="AA57" s="124">
        <f t="shared" si="15"/>
        <v>17640</v>
      </c>
      <c r="AB57" s="124">
        <f t="shared" si="3"/>
        <v>211680</v>
      </c>
    </row>
    <row r="58" spans="1:28" ht="15.6" thickTop="1" thickBot="1" x14ac:dyDescent="0.35">
      <c r="A58" s="820"/>
      <c r="B58" s="201" t="str">
        <f>B29</f>
        <v>MODELO: Creativo</v>
      </c>
      <c r="C58" s="202">
        <f>E37</f>
        <v>20640</v>
      </c>
      <c r="D58" s="203">
        <v>1</v>
      </c>
      <c r="E58" s="124">
        <f t="shared" si="4"/>
        <v>20640</v>
      </c>
      <c r="F58" s="203">
        <v>1</v>
      </c>
      <c r="G58" s="124">
        <f t="shared" si="5"/>
        <v>20640</v>
      </c>
      <c r="H58" s="203">
        <v>1</v>
      </c>
      <c r="I58" s="124">
        <f t="shared" si="6"/>
        <v>20640</v>
      </c>
      <c r="J58" s="203">
        <v>1</v>
      </c>
      <c r="K58" s="124">
        <f t="shared" si="7"/>
        <v>20640</v>
      </c>
      <c r="L58" s="203">
        <v>1</v>
      </c>
      <c r="M58" s="124">
        <f t="shared" si="8"/>
        <v>20640</v>
      </c>
      <c r="N58" s="203">
        <v>1</v>
      </c>
      <c r="O58" s="124">
        <f t="shared" si="9"/>
        <v>20640</v>
      </c>
      <c r="P58" s="203">
        <v>1</v>
      </c>
      <c r="Q58" s="124">
        <f t="shared" si="10"/>
        <v>20640</v>
      </c>
      <c r="R58" s="203">
        <v>1</v>
      </c>
      <c r="S58" s="124">
        <f t="shared" si="11"/>
        <v>20640</v>
      </c>
      <c r="T58" s="203">
        <v>1</v>
      </c>
      <c r="U58" s="124">
        <f t="shared" si="12"/>
        <v>20640</v>
      </c>
      <c r="V58" s="203">
        <v>1</v>
      </c>
      <c r="W58" s="124">
        <f t="shared" si="13"/>
        <v>20640</v>
      </c>
      <c r="X58" s="203">
        <v>1</v>
      </c>
      <c r="Y58" s="124">
        <f t="shared" si="14"/>
        <v>20640</v>
      </c>
      <c r="Z58" s="203">
        <v>1</v>
      </c>
      <c r="AA58" s="124">
        <f t="shared" si="15"/>
        <v>20640</v>
      </c>
      <c r="AB58" s="124">
        <f t="shared" si="3"/>
        <v>247680</v>
      </c>
    </row>
    <row r="59" spans="1:28" ht="15.6" thickTop="1" thickBot="1" x14ac:dyDescent="0.35">
      <c r="A59" s="820"/>
      <c r="B59" s="201" t="str">
        <f>B40</f>
        <v>MODELO: Exclusivo</v>
      </c>
      <c r="C59" s="202">
        <f>E48</f>
        <v>16740</v>
      </c>
      <c r="D59" s="203">
        <v>1</v>
      </c>
      <c r="E59" s="124">
        <f t="shared" si="4"/>
        <v>16740</v>
      </c>
      <c r="F59" s="203">
        <v>1</v>
      </c>
      <c r="G59" s="124">
        <f t="shared" si="5"/>
        <v>16740</v>
      </c>
      <c r="H59" s="203">
        <v>1</v>
      </c>
      <c r="I59" s="124">
        <f t="shared" si="6"/>
        <v>16740</v>
      </c>
      <c r="J59" s="203">
        <v>1</v>
      </c>
      <c r="K59" s="124">
        <f t="shared" si="7"/>
        <v>16740</v>
      </c>
      <c r="L59" s="203">
        <v>1</v>
      </c>
      <c r="M59" s="124">
        <f t="shared" si="8"/>
        <v>16740</v>
      </c>
      <c r="N59" s="203">
        <v>1</v>
      </c>
      <c r="O59" s="124">
        <f t="shared" si="9"/>
        <v>16740</v>
      </c>
      <c r="P59" s="203">
        <v>1</v>
      </c>
      <c r="Q59" s="124">
        <f t="shared" si="10"/>
        <v>16740</v>
      </c>
      <c r="R59" s="203">
        <v>1</v>
      </c>
      <c r="S59" s="124">
        <f t="shared" si="11"/>
        <v>16740</v>
      </c>
      <c r="T59" s="203">
        <v>1</v>
      </c>
      <c r="U59" s="124">
        <f t="shared" si="12"/>
        <v>16740</v>
      </c>
      <c r="V59" s="203">
        <v>1</v>
      </c>
      <c r="W59" s="124">
        <f t="shared" si="13"/>
        <v>16740</v>
      </c>
      <c r="X59" s="203">
        <v>1</v>
      </c>
      <c r="Y59" s="124">
        <f t="shared" si="14"/>
        <v>16740</v>
      </c>
      <c r="Z59" s="203">
        <v>1</v>
      </c>
      <c r="AA59" s="124">
        <f t="shared" si="15"/>
        <v>16740</v>
      </c>
      <c r="AB59" s="124">
        <f t="shared" si="3"/>
        <v>200880</v>
      </c>
    </row>
    <row r="60" spans="1:28" ht="15.6" thickTop="1" thickBot="1" x14ac:dyDescent="0.35">
      <c r="A60" s="816" t="s">
        <v>46</v>
      </c>
      <c r="B60" s="103" t="s">
        <v>51</v>
      </c>
      <c r="C60" s="120">
        <v>3000</v>
      </c>
      <c r="D60" s="104">
        <v>1</v>
      </c>
      <c r="E60" s="123">
        <f>D60*C60</f>
        <v>3000</v>
      </c>
      <c r="F60" s="104">
        <v>1</v>
      </c>
      <c r="G60" s="123">
        <f t="shared" ref="G60:G69" si="16">F60*C60</f>
        <v>3000</v>
      </c>
      <c r="H60" s="104">
        <v>1</v>
      </c>
      <c r="I60" s="123">
        <f t="shared" ref="I60:I69" si="17">H60*C60</f>
        <v>3000</v>
      </c>
      <c r="J60" s="104">
        <v>1</v>
      </c>
      <c r="K60" s="123">
        <f t="shared" ref="K60:K69" si="18">J60*C60</f>
        <v>3000</v>
      </c>
      <c r="L60" s="104">
        <v>1</v>
      </c>
      <c r="M60" s="123">
        <f t="shared" ref="M60:M69" si="19">L60*C60</f>
        <v>3000</v>
      </c>
      <c r="N60" s="104">
        <v>0</v>
      </c>
      <c r="O60" s="123">
        <f t="shared" ref="O60:O69" si="20">N60*C60</f>
        <v>0</v>
      </c>
      <c r="P60" s="104">
        <v>0</v>
      </c>
      <c r="Q60" s="123">
        <f t="shared" ref="Q60:Q69" si="21">P60*C60</f>
        <v>0</v>
      </c>
      <c r="R60" s="104">
        <v>0</v>
      </c>
      <c r="S60" s="123">
        <f t="shared" ref="S60:S69" si="22">R60*C60</f>
        <v>0</v>
      </c>
      <c r="T60" s="104">
        <v>1</v>
      </c>
      <c r="U60" s="123">
        <f t="shared" ref="U60:U69" si="23">T60*C60</f>
        <v>3000</v>
      </c>
      <c r="V60" s="104">
        <v>0</v>
      </c>
      <c r="W60" s="123">
        <f t="shared" ref="W60:W69" si="24">V60*C60</f>
        <v>0</v>
      </c>
      <c r="X60" s="104">
        <v>0</v>
      </c>
      <c r="Y60" s="123">
        <f t="shared" ref="Y60:Y69" si="25">X60*C60</f>
        <v>0</v>
      </c>
      <c r="Z60" s="104">
        <v>1</v>
      </c>
      <c r="AA60" s="123">
        <f t="shared" ref="AA60:AA69" si="26">Z60*C60</f>
        <v>3000</v>
      </c>
      <c r="AB60" s="127">
        <f t="shared" ref="AB60:AB67" si="27">E60+G60+I60+K60+M60+O60+Q60+S60++U60+W60+Y60+AA60</f>
        <v>21000</v>
      </c>
    </row>
    <row r="61" spans="1:28" ht="15.6" thickTop="1" thickBot="1" x14ac:dyDescent="0.35">
      <c r="A61" s="816"/>
      <c r="B61" s="105" t="s">
        <v>52</v>
      </c>
      <c r="C61" s="121">
        <v>3000</v>
      </c>
      <c r="D61" s="106">
        <v>1</v>
      </c>
      <c r="E61" s="124">
        <f t="shared" ref="E61:E69" si="28">D61*C61</f>
        <v>3000</v>
      </c>
      <c r="F61" s="106">
        <v>1</v>
      </c>
      <c r="G61" s="124">
        <f t="shared" si="16"/>
        <v>3000</v>
      </c>
      <c r="H61" s="106">
        <v>1</v>
      </c>
      <c r="I61" s="124">
        <f t="shared" si="17"/>
        <v>3000</v>
      </c>
      <c r="J61" s="106">
        <v>1</v>
      </c>
      <c r="K61" s="124">
        <f t="shared" si="18"/>
        <v>3000</v>
      </c>
      <c r="L61" s="106">
        <v>1</v>
      </c>
      <c r="M61" s="124">
        <f t="shared" si="19"/>
        <v>3000</v>
      </c>
      <c r="N61" s="106">
        <v>1</v>
      </c>
      <c r="O61" s="124">
        <f t="shared" si="20"/>
        <v>3000</v>
      </c>
      <c r="P61" s="106">
        <v>1</v>
      </c>
      <c r="Q61" s="124">
        <f t="shared" si="21"/>
        <v>3000</v>
      </c>
      <c r="R61" s="106">
        <v>1</v>
      </c>
      <c r="S61" s="124">
        <f t="shared" si="22"/>
        <v>3000</v>
      </c>
      <c r="T61" s="106">
        <v>1</v>
      </c>
      <c r="U61" s="124">
        <f t="shared" si="23"/>
        <v>3000</v>
      </c>
      <c r="V61" s="106">
        <v>1</v>
      </c>
      <c r="W61" s="124">
        <f t="shared" si="24"/>
        <v>3000</v>
      </c>
      <c r="X61" s="106">
        <v>1</v>
      </c>
      <c r="Y61" s="124">
        <f t="shared" si="25"/>
        <v>3000</v>
      </c>
      <c r="Z61" s="106">
        <v>1</v>
      </c>
      <c r="AA61" s="124">
        <f t="shared" si="26"/>
        <v>3000</v>
      </c>
      <c r="AB61" s="128">
        <f t="shared" si="27"/>
        <v>36000</v>
      </c>
    </row>
    <row r="62" spans="1:28" ht="15.6" thickTop="1" thickBot="1" x14ac:dyDescent="0.35">
      <c r="A62" s="816"/>
      <c r="B62" s="107" t="s">
        <v>53</v>
      </c>
      <c r="C62" s="122">
        <v>1000</v>
      </c>
      <c r="D62" s="108">
        <v>2</v>
      </c>
      <c r="E62" s="125">
        <f t="shared" si="28"/>
        <v>2000</v>
      </c>
      <c r="F62" s="108">
        <v>1</v>
      </c>
      <c r="G62" s="125">
        <f t="shared" si="16"/>
        <v>1000</v>
      </c>
      <c r="H62" s="108">
        <v>1</v>
      </c>
      <c r="I62" s="125">
        <f t="shared" si="17"/>
        <v>1000</v>
      </c>
      <c r="J62" s="108">
        <v>1</v>
      </c>
      <c r="K62" s="125">
        <f t="shared" si="18"/>
        <v>1000</v>
      </c>
      <c r="L62" s="108">
        <v>1</v>
      </c>
      <c r="M62" s="125">
        <f t="shared" si="19"/>
        <v>1000</v>
      </c>
      <c r="N62" s="108">
        <v>1</v>
      </c>
      <c r="O62" s="125">
        <f t="shared" si="20"/>
        <v>1000</v>
      </c>
      <c r="P62" s="108">
        <v>1</v>
      </c>
      <c r="Q62" s="125">
        <f t="shared" si="21"/>
        <v>1000</v>
      </c>
      <c r="R62" s="108">
        <v>1</v>
      </c>
      <c r="S62" s="125">
        <f t="shared" si="22"/>
        <v>1000</v>
      </c>
      <c r="T62" s="108">
        <v>1</v>
      </c>
      <c r="U62" s="125">
        <f t="shared" si="23"/>
        <v>1000</v>
      </c>
      <c r="V62" s="108">
        <v>1</v>
      </c>
      <c r="W62" s="125">
        <f t="shared" si="24"/>
        <v>1000</v>
      </c>
      <c r="X62" s="108">
        <v>1</v>
      </c>
      <c r="Y62" s="125">
        <f t="shared" si="25"/>
        <v>1000</v>
      </c>
      <c r="Z62" s="108">
        <v>1</v>
      </c>
      <c r="AA62" s="125">
        <f t="shared" si="26"/>
        <v>1000</v>
      </c>
      <c r="AB62" s="129">
        <f t="shared" si="27"/>
        <v>13000</v>
      </c>
    </row>
    <row r="63" spans="1:28" ht="15.6" thickTop="1" thickBot="1" x14ac:dyDescent="0.35">
      <c r="A63" s="816" t="s">
        <v>47</v>
      </c>
      <c r="B63" s="103" t="s">
        <v>403</v>
      </c>
      <c r="C63" s="120">
        <v>10000</v>
      </c>
      <c r="D63" s="104">
        <v>1</v>
      </c>
      <c r="E63" s="123">
        <f t="shared" si="28"/>
        <v>10000</v>
      </c>
      <c r="F63" s="104">
        <v>1</v>
      </c>
      <c r="G63" s="123">
        <f t="shared" si="16"/>
        <v>10000</v>
      </c>
      <c r="H63" s="104">
        <v>1</v>
      </c>
      <c r="I63" s="123">
        <f t="shared" si="17"/>
        <v>10000</v>
      </c>
      <c r="J63" s="104">
        <v>1</v>
      </c>
      <c r="K63" s="123">
        <f t="shared" si="18"/>
        <v>10000</v>
      </c>
      <c r="L63" s="104">
        <v>1</v>
      </c>
      <c r="M63" s="123">
        <f t="shared" si="19"/>
        <v>10000</v>
      </c>
      <c r="N63" s="104">
        <v>1</v>
      </c>
      <c r="O63" s="123">
        <f t="shared" si="20"/>
        <v>10000</v>
      </c>
      <c r="P63" s="104">
        <v>1</v>
      </c>
      <c r="Q63" s="123">
        <f t="shared" si="21"/>
        <v>10000</v>
      </c>
      <c r="R63" s="104">
        <v>1</v>
      </c>
      <c r="S63" s="123">
        <f t="shared" si="22"/>
        <v>10000</v>
      </c>
      <c r="T63" s="104">
        <v>1</v>
      </c>
      <c r="U63" s="123">
        <f t="shared" si="23"/>
        <v>10000</v>
      </c>
      <c r="V63" s="104">
        <v>1</v>
      </c>
      <c r="W63" s="123">
        <f t="shared" si="24"/>
        <v>10000</v>
      </c>
      <c r="X63" s="104">
        <v>1</v>
      </c>
      <c r="Y63" s="123">
        <f t="shared" si="25"/>
        <v>10000</v>
      </c>
      <c r="Z63" s="104">
        <v>1</v>
      </c>
      <c r="AA63" s="123">
        <f t="shared" si="26"/>
        <v>10000</v>
      </c>
      <c r="AB63" s="127">
        <f t="shared" si="27"/>
        <v>120000</v>
      </c>
    </row>
    <row r="64" spans="1:28" ht="15.6" thickTop="1" thickBot="1" x14ac:dyDescent="0.35">
      <c r="A64" s="817"/>
      <c r="B64" s="105" t="s">
        <v>90</v>
      </c>
      <c r="C64" s="121">
        <v>2500</v>
      </c>
      <c r="D64" s="106">
        <v>1</v>
      </c>
      <c r="E64" s="124">
        <f t="shared" si="28"/>
        <v>2500</v>
      </c>
      <c r="F64" s="106">
        <v>1</v>
      </c>
      <c r="G64" s="124">
        <f t="shared" si="16"/>
        <v>2500</v>
      </c>
      <c r="H64" s="106">
        <v>1</v>
      </c>
      <c r="I64" s="124">
        <f t="shared" si="17"/>
        <v>2500</v>
      </c>
      <c r="J64" s="106">
        <v>1</v>
      </c>
      <c r="K64" s="124">
        <f t="shared" si="18"/>
        <v>2500</v>
      </c>
      <c r="L64" s="106">
        <v>1</v>
      </c>
      <c r="M64" s="124">
        <f t="shared" si="19"/>
        <v>2500</v>
      </c>
      <c r="N64" s="106">
        <v>2</v>
      </c>
      <c r="O64" s="124">
        <f t="shared" si="20"/>
        <v>5000</v>
      </c>
      <c r="P64" s="106">
        <v>1</v>
      </c>
      <c r="Q64" s="124">
        <f t="shared" si="21"/>
        <v>2500</v>
      </c>
      <c r="R64" s="106">
        <v>1</v>
      </c>
      <c r="S64" s="124">
        <f t="shared" si="22"/>
        <v>2500</v>
      </c>
      <c r="T64" s="106">
        <v>1</v>
      </c>
      <c r="U64" s="124">
        <f t="shared" si="23"/>
        <v>2500</v>
      </c>
      <c r="V64" s="106">
        <v>1</v>
      </c>
      <c r="W64" s="124">
        <f t="shared" si="24"/>
        <v>2500</v>
      </c>
      <c r="X64" s="106">
        <v>1</v>
      </c>
      <c r="Y64" s="124">
        <f t="shared" si="25"/>
        <v>2500</v>
      </c>
      <c r="Z64" s="106">
        <v>1</v>
      </c>
      <c r="AA64" s="124">
        <f t="shared" si="26"/>
        <v>2500</v>
      </c>
      <c r="AB64" s="128">
        <f t="shared" si="27"/>
        <v>32500</v>
      </c>
    </row>
    <row r="65" spans="1:28" ht="15.6" thickTop="1" thickBot="1" x14ac:dyDescent="0.35">
      <c r="A65" s="817"/>
      <c r="B65" s="107" t="s">
        <v>91</v>
      </c>
      <c r="C65" s="122">
        <v>2500</v>
      </c>
      <c r="D65" s="108">
        <v>1</v>
      </c>
      <c r="E65" s="125">
        <f t="shared" si="28"/>
        <v>2500</v>
      </c>
      <c r="F65" s="108">
        <v>1</v>
      </c>
      <c r="G65" s="125">
        <f t="shared" si="16"/>
        <v>2500</v>
      </c>
      <c r="H65" s="108">
        <v>1</v>
      </c>
      <c r="I65" s="125">
        <f t="shared" si="17"/>
        <v>2500</v>
      </c>
      <c r="J65" s="108">
        <v>1</v>
      </c>
      <c r="K65" s="125">
        <f t="shared" si="18"/>
        <v>2500</v>
      </c>
      <c r="L65" s="108">
        <v>1</v>
      </c>
      <c r="M65" s="125">
        <f t="shared" si="19"/>
        <v>2500</v>
      </c>
      <c r="N65" s="108">
        <v>2</v>
      </c>
      <c r="O65" s="125">
        <f t="shared" si="20"/>
        <v>5000</v>
      </c>
      <c r="P65" s="108">
        <v>1</v>
      </c>
      <c r="Q65" s="125">
        <f t="shared" si="21"/>
        <v>2500</v>
      </c>
      <c r="R65" s="108">
        <v>1</v>
      </c>
      <c r="S65" s="125">
        <f t="shared" si="22"/>
        <v>2500</v>
      </c>
      <c r="T65" s="108">
        <v>1</v>
      </c>
      <c r="U65" s="125">
        <f t="shared" si="23"/>
        <v>2500</v>
      </c>
      <c r="V65" s="108">
        <v>1</v>
      </c>
      <c r="W65" s="125">
        <f t="shared" si="24"/>
        <v>2500</v>
      </c>
      <c r="X65" s="108">
        <v>1</v>
      </c>
      <c r="Y65" s="125">
        <f t="shared" si="25"/>
        <v>2500</v>
      </c>
      <c r="Z65" s="108">
        <v>1</v>
      </c>
      <c r="AA65" s="125">
        <f t="shared" si="26"/>
        <v>2500</v>
      </c>
      <c r="AB65" s="129">
        <f t="shared" si="27"/>
        <v>32500</v>
      </c>
    </row>
    <row r="66" spans="1:28" ht="15" thickTop="1" x14ac:dyDescent="0.3">
      <c r="A66" s="814" t="s">
        <v>48</v>
      </c>
      <c r="B66" s="103" t="s">
        <v>401</v>
      </c>
      <c r="C66" s="120">
        <v>300000</v>
      </c>
      <c r="D66" s="104">
        <v>1</v>
      </c>
      <c r="E66" s="123">
        <f t="shared" si="28"/>
        <v>300000</v>
      </c>
      <c r="F66" s="104">
        <v>1</v>
      </c>
      <c r="G66" s="123">
        <f t="shared" si="16"/>
        <v>300000</v>
      </c>
      <c r="H66" s="104">
        <v>1</v>
      </c>
      <c r="I66" s="123">
        <f t="shared" si="17"/>
        <v>300000</v>
      </c>
      <c r="J66" s="104">
        <v>1</v>
      </c>
      <c r="K66" s="123">
        <f t="shared" si="18"/>
        <v>300000</v>
      </c>
      <c r="L66" s="104">
        <v>1</v>
      </c>
      <c r="M66" s="123">
        <f t="shared" si="19"/>
        <v>300000</v>
      </c>
      <c r="N66" s="104">
        <v>1</v>
      </c>
      <c r="O66" s="123">
        <f t="shared" si="20"/>
        <v>300000</v>
      </c>
      <c r="P66" s="104">
        <v>1</v>
      </c>
      <c r="Q66" s="123">
        <f t="shared" si="21"/>
        <v>300000</v>
      </c>
      <c r="R66" s="104">
        <v>1</v>
      </c>
      <c r="S66" s="123">
        <f t="shared" si="22"/>
        <v>300000</v>
      </c>
      <c r="T66" s="104">
        <v>1</v>
      </c>
      <c r="U66" s="123">
        <f t="shared" si="23"/>
        <v>300000</v>
      </c>
      <c r="V66" s="104">
        <v>1</v>
      </c>
      <c r="W66" s="123">
        <f t="shared" si="24"/>
        <v>300000</v>
      </c>
      <c r="X66" s="104">
        <v>1</v>
      </c>
      <c r="Y66" s="123">
        <f t="shared" si="25"/>
        <v>300000</v>
      </c>
      <c r="Z66" s="104">
        <v>1</v>
      </c>
      <c r="AA66" s="123">
        <f t="shared" si="26"/>
        <v>300000</v>
      </c>
      <c r="AB66" s="127">
        <f t="shared" si="27"/>
        <v>3600000</v>
      </c>
    </row>
    <row r="67" spans="1:28" ht="15" thickBot="1" x14ac:dyDescent="0.35">
      <c r="A67" s="815"/>
      <c r="B67" s="107" t="s">
        <v>95</v>
      </c>
      <c r="C67" s="122">
        <v>35000</v>
      </c>
      <c r="D67" s="108">
        <v>1</v>
      </c>
      <c r="E67" s="125">
        <f t="shared" si="28"/>
        <v>35000</v>
      </c>
      <c r="F67" s="108">
        <v>1</v>
      </c>
      <c r="G67" s="125">
        <f t="shared" si="16"/>
        <v>35000</v>
      </c>
      <c r="H67" s="108">
        <v>1</v>
      </c>
      <c r="I67" s="125">
        <f t="shared" si="17"/>
        <v>35000</v>
      </c>
      <c r="J67" s="108">
        <v>1</v>
      </c>
      <c r="K67" s="125">
        <f t="shared" si="18"/>
        <v>35000</v>
      </c>
      <c r="L67" s="108">
        <v>1</v>
      </c>
      <c r="M67" s="125">
        <f t="shared" si="19"/>
        <v>35000</v>
      </c>
      <c r="N67" s="108">
        <v>1</v>
      </c>
      <c r="O67" s="125">
        <f t="shared" si="20"/>
        <v>35000</v>
      </c>
      <c r="P67" s="108">
        <v>2</v>
      </c>
      <c r="Q67" s="125">
        <f t="shared" si="21"/>
        <v>70000</v>
      </c>
      <c r="R67" s="108">
        <v>1</v>
      </c>
      <c r="S67" s="125">
        <f t="shared" si="22"/>
        <v>35000</v>
      </c>
      <c r="T67" s="108">
        <v>1</v>
      </c>
      <c r="U67" s="125">
        <f t="shared" si="23"/>
        <v>35000</v>
      </c>
      <c r="V67" s="108">
        <v>1</v>
      </c>
      <c r="W67" s="125">
        <f t="shared" si="24"/>
        <v>35000</v>
      </c>
      <c r="X67" s="108">
        <v>1</v>
      </c>
      <c r="Y67" s="125">
        <f t="shared" si="25"/>
        <v>35000</v>
      </c>
      <c r="Z67" s="108">
        <v>3</v>
      </c>
      <c r="AA67" s="125">
        <f t="shared" si="26"/>
        <v>105000</v>
      </c>
      <c r="AB67" s="129">
        <f t="shared" si="27"/>
        <v>525000</v>
      </c>
    </row>
    <row r="68" spans="1:28" ht="15.6" thickTop="1" thickBot="1" x14ac:dyDescent="0.35">
      <c r="A68" s="117" t="s">
        <v>49</v>
      </c>
      <c r="B68" s="130" t="s">
        <v>93</v>
      </c>
      <c r="C68" s="131">
        <v>45000</v>
      </c>
      <c r="D68" s="132">
        <v>1</v>
      </c>
      <c r="E68" s="118">
        <f t="shared" si="28"/>
        <v>45000</v>
      </c>
      <c r="F68" s="132">
        <v>1</v>
      </c>
      <c r="G68" s="118">
        <f t="shared" si="16"/>
        <v>45000</v>
      </c>
      <c r="H68" s="132">
        <v>1</v>
      </c>
      <c r="I68" s="118">
        <f t="shared" si="17"/>
        <v>45000</v>
      </c>
      <c r="J68" s="132">
        <v>1</v>
      </c>
      <c r="K68" s="118">
        <f t="shared" si="18"/>
        <v>45000</v>
      </c>
      <c r="L68" s="132">
        <v>2</v>
      </c>
      <c r="M68" s="118">
        <f t="shared" si="19"/>
        <v>90000</v>
      </c>
      <c r="N68" s="132">
        <v>2</v>
      </c>
      <c r="O68" s="118">
        <f t="shared" si="20"/>
        <v>90000</v>
      </c>
      <c r="P68" s="132">
        <v>4</v>
      </c>
      <c r="Q68" s="118">
        <f t="shared" si="21"/>
        <v>180000</v>
      </c>
      <c r="R68" s="132">
        <v>1</v>
      </c>
      <c r="S68" s="118">
        <f t="shared" si="22"/>
        <v>45000</v>
      </c>
      <c r="T68" s="132">
        <v>1</v>
      </c>
      <c r="U68" s="118">
        <f t="shared" si="23"/>
        <v>45000</v>
      </c>
      <c r="V68" s="132">
        <v>2</v>
      </c>
      <c r="W68" s="118">
        <f t="shared" si="24"/>
        <v>90000</v>
      </c>
      <c r="X68" s="132">
        <v>2</v>
      </c>
      <c r="Y68" s="118">
        <f>X68*C68</f>
        <v>90000</v>
      </c>
      <c r="Z68" s="132">
        <v>4</v>
      </c>
      <c r="AA68" s="118">
        <f t="shared" si="26"/>
        <v>180000</v>
      </c>
      <c r="AB68" s="133">
        <f>E68+G68+I68+K68+M68+O68+Q68+S68++U68+W68+Y68+AA68</f>
        <v>990000</v>
      </c>
    </row>
    <row r="69" spans="1:28" ht="15.6" thickTop="1" thickBot="1" x14ac:dyDescent="0.35">
      <c r="A69" s="117" t="s">
        <v>50</v>
      </c>
      <c r="B69" s="130" t="s">
        <v>92</v>
      </c>
      <c r="C69" s="131">
        <v>25000</v>
      </c>
      <c r="D69" s="132">
        <v>8</v>
      </c>
      <c r="E69" s="118">
        <f t="shared" si="28"/>
        <v>200000</v>
      </c>
      <c r="F69" s="132">
        <v>8</v>
      </c>
      <c r="G69" s="118">
        <f t="shared" si="16"/>
        <v>200000</v>
      </c>
      <c r="H69" s="132">
        <v>8</v>
      </c>
      <c r="I69" s="118">
        <f t="shared" si="17"/>
        <v>200000</v>
      </c>
      <c r="J69" s="132">
        <v>8</v>
      </c>
      <c r="K69" s="118">
        <f t="shared" si="18"/>
        <v>200000</v>
      </c>
      <c r="L69" s="132">
        <v>8</v>
      </c>
      <c r="M69" s="118">
        <f t="shared" si="19"/>
        <v>200000</v>
      </c>
      <c r="N69" s="132">
        <v>8</v>
      </c>
      <c r="O69" s="118">
        <f t="shared" si="20"/>
        <v>200000</v>
      </c>
      <c r="P69" s="132">
        <v>8</v>
      </c>
      <c r="Q69" s="118">
        <f t="shared" si="21"/>
        <v>200000</v>
      </c>
      <c r="R69" s="132">
        <v>8</v>
      </c>
      <c r="S69" s="118">
        <f t="shared" si="22"/>
        <v>200000</v>
      </c>
      <c r="T69" s="132">
        <v>8</v>
      </c>
      <c r="U69" s="118">
        <f t="shared" si="23"/>
        <v>200000</v>
      </c>
      <c r="V69" s="132">
        <v>8</v>
      </c>
      <c r="W69" s="118">
        <f t="shared" si="24"/>
        <v>200000</v>
      </c>
      <c r="X69" s="132">
        <v>10</v>
      </c>
      <c r="Y69" s="118">
        <f t="shared" si="25"/>
        <v>250000</v>
      </c>
      <c r="Z69" s="132">
        <v>10</v>
      </c>
      <c r="AA69" s="118">
        <f t="shared" si="26"/>
        <v>250000</v>
      </c>
      <c r="AB69" s="133">
        <f>E69+G69+I69+K69+M69+O69+Q69+S69+U69+W69+Y69+AA69</f>
        <v>2500000</v>
      </c>
    </row>
    <row r="70" spans="1:28" ht="15.6" thickTop="1" thickBot="1" x14ac:dyDescent="0.35">
      <c r="A70" s="100"/>
      <c r="B70" s="134" t="s">
        <v>44</v>
      </c>
      <c r="C70" s="135"/>
      <c r="D70" s="135"/>
      <c r="E70" s="137">
        <f>SUM(E55:E69)</f>
        <v>735820</v>
      </c>
      <c r="F70" s="136"/>
      <c r="G70" s="137">
        <f>SUM(G55:G69)</f>
        <v>734820</v>
      </c>
      <c r="H70" s="136"/>
      <c r="I70" s="137">
        <f>SUM(I55:I69)</f>
        <v>734820</v>
      </c>
      <c r="J70" s="136"/>
      <c r="K70" s="137">
        <f>SUM(K55:K69)</f>
        <v>734820</v>
      </c>
      <c r="L70" s="136"/>
      <c r="M70" s="137">
        <f>SUM(M55:M69)</f>
        <v>779820</v>
      </c>
      <c r="N70" s="135"/>
      <c r="O70" s="137">
        <f>SUM(O55:O69)</f>
        <v>781820</v>
      </c>
      <c r="P70" s="136"/>
      <c r="Q70" s="137">
        <f>SUM(Q55:Q69)</f>
        <v>901820</v>
      </c>
      <c r="R70" s="136"/>
      <c r="S70" s="137">
        <f>SUM(S55:S69)</f>
        <v>731820</v>
      </c>
      <c r="T70" s="136"/>
      <c r="U70" s="137">
        <f>SUM(U55:U69)</f>
        <v>734820</v>
      </c>
      <c r="V70" s="136"/>
      <c r="W70" s="137">
        <f>SUM(W55:W69)</f>
        <v>776820</v>
      </c>
      <c r="X70" s="136"/>
      <c r="Y70" s="137">
        <f>SUM(Y55:Y69)</f>
        <v>902520</v>
      </c>
      <c r="Z70" s="136"/>
      <c r="AA70" s="137">
        <f>SUM(AA55:AA69)</f>
        <v>1065520</v>
      </c>
      <c r="AB70" s="137">
        <f>SUM(AB55:AB69)</f>
        <v>9615240</v>
      </c>
    </row>
    <row r="71" spans="1:28" ht="15" thickTop="1" x14ac:dyDescent="0.3"/>
    <row r="73" spans="1:28" ht="15.75" customHeight="1" thickBot="1" x14ac:dyDescent="0.35"/>
    <row r="74" spans="1:28" ht="30.75" customHeight="1" thickTop="1" x14ac:dyDescent="0.5">
      <c r="A74" s="72"/>
      <c r="B74" s="1027" t="s">
        <v>212</v>
      </c>
      <c r="C74" s="1028"/>
      <c r="D74" s="1028"/>
      <c r="E74" s="1028"/>
      <c r="F74" s="1028"/>
      <c r="G74" s="1028"/>
      <c r="H74" s="1028"/>
      <c r="I74" s="1028"/>
      <c r="J74" s="1028"/>
      <c r="K74" s="1028"/>
      <c r="L74" s="1028"/>
      <c r="M74" s="1028"/>
      <c r="N74" s="1028"/>
      <c r="O74" s="1028"/>
      <c r="P74" s="1028"/>
      <c r="Q74" s="1028"/>
      <c r="R74" s="1028"/>
      <c r="S74" s="1028"/>
      <c r="T74" s="1028"/>
      <c r="U74" s="1028"/>
      <c r="V74" s="1028"/>
      <c r="W74" s="1028"/>
      <c r="X74" s="1028"/>
      <c r="Y74" s="1028"/>
      <c r="Z74" s="1028"/>
      <c r="AA74" s="1028"/>
      <c r="AB74" s="1029"/>
    </row>
    <row r="75" spans="1:28" ht="15" thickBot="1" x14ac:dyDescent="0.35">
      <c r="A75" s="110"/>
      <c r="B75" s="818" t="s">
        <v>27</v>
      </c>
      <c r="C75" s="819"/>
      <c r="D75" s="819" t="s">
        <v>28</v>
      </c>
      <c r="E75" s="819"/>
      <c r="F75" s="101" t="s">
        <v>29</v>
      </c>
      <c r="G75" s="101"/>
      <c r="H75" s="819" t="s">
        <v>30</v>
      </c>
      <c r="I75" s="819"/>
      <c r="J75" s="101" t="s">
        <v>31</v>
      </c>
      <c r="K75" s="101"/>
      <c r="L75" s="819" t="s">
        <v>32</v>
      </c>
      <c r="M75" s="819"/>
      <c r="N75" s="819" t="s">
        <v>33</v>
      </c>
      <c r="O75" s="819"/>
      <c r="P75" s="819" t="s">
        <v>34</v>
      </c>
      <c r="Q75" s="819"/>
      <c r="R75" s="819" t="s">
        <v>35</v>
      </c>
      <c r="S75" s="819"/>
      <c r="T75" s="819" t="s">
        <v>36</v>
      </c>
      <c r="U75" s="819"/>
      <c r="V75" s="819" t="s">
        <v>37</v>
      </c>
      <c r="W75" s="819"/>
      <c r="X75" s="819" t="s">
        <v>38</v>
      </c>
      <c r="Y75" s="819"/>
      <c r="Z75" s="819" t="s">
        <v>39</v>
      </c>
      <c r="AA75" s="819"/>
      <c r="AB75" s="821" t="s">
        <v>9</v>
      </c>
    </row>
    <row r="76" spans="1:28" ht="15.6" thickTop="1" thickBot="1" x14ac:dyDescent="0.35">
      <c r="A76" s="111" t="s">
        <v>66</v>
      </c>
      <c r="B76" s="112" t="s">
        <v>40</v>
      </c>
      <c r="C76" s="102" t="s">
        <v>41</v>
      </c>
      <c r="D76" s="102" t="s">
        <v>42</v>
      </c>
      <c r="E76" s="102" t="s">
        <v>43</v>
      </c>
      <c r="F76" s="102" t="s">
        <v>42</v>
      </c>
      <c r="G76" s="102" t="s">
        <v>43</v>
      </c>
      <c r="H76" s="102" t="s">
        <v>42</v>
      </c>
      <c r="I76" s="102" t="s">
        <v>43</v>
      </c>
      <c r="J76" s="102" t="s">
        <v>42</v>
      </c>
      <c r="K76" s="102" t="s">
        <v>43</v>
      </c>
      <c r="L76" s="102" t="s">
        <v>42</v>
      </c>
      <c r="M76" s="102" t="s">
        <v>43</v>
      </c>
      <c r="N76" s="102" t="s">
        <v>42</v>
      </c>
      <c r="O76" s="102" t="s">
        <v>43</v>
      </c>
      <c r="P76" s="102" t="s">
        <v>42</v>
      </c>
      <c r="Q76" s="102" t="s">
        <v>43</v>
      </c>
      <c r="R76" s="102" t="s">
        <v>42</v>
      </c>
      <c r="S76" s="102" t="s">
        <v>43</v>
      </c>
      <c r="T76" s="102" t="s">
        <v>42</v>
      </c>
      <c r="U76" s="102" t="s">
        <v>43</v>
      </c>
      <c r="V76" s="102" t="s">
        <v>42</v>
      </c>
      <c r="W76" s="102" t="s">
        <v>43</v>
      </c>
      <c r="X76" s="102" t="s">
        <v>42</v>
      </c>
      <c r="Y76" s="102" t="s">
        <v>43</v>
      </c>
      <c r="Z76" s="102" t="s">
        <v>42</v>
      </c>
      <c r="AA76" s="102" t="s">
        <v>43</v>
      </c>
      <c r="AB76" s="822"/>
    </row>
    <row r="77" spans="1:28" ht="15.6" thickTop="1" thickBot="1" x14ac:dyDescent="0.35">
      <c r="A77" s="113" t="s">
        <v>109</v>
      </c>
      <c r="B77" s="114" t="s">
        <v>94</v>
      </c>
      <c r="C77" s="118">
        <v>35</v>
      </c>
      <c r="D77" s="132">
        <f>'Proyección de ventas'!$E$98+'Proyección de ventas'!$E$99+'Proyección de ventas'!$E$100</f>
        <v>224</v>
      </c>
      <c r="E77" s="118">
        <f>C77*(SUM('Proyección de ventas'!E98:E100))</f>
        <v>7840</v>
      </c>
      <c r="F77" s="132">
        <f>'Proyección de ventas'!G98 + 'Proyección de ventas'!G99 + 'Proyección de ventas'!G100</f>
        <v>224</v>
      </c>
      <c r="G77" s="118">
        <f>C77*(SUM('Proyección de ventas'!G98:G100))</f>
        <v>7840</v>
      </c>
      <c r="H77" s="132">
        <f>'Proyección de ventas'!I98 + 'Proyección de ventas'!I99 + 'Proyección de ventas'!I100</f>
        <v>224</v>
      </c>
      <c r="I77" s="118">
        <f>C77*(SUM('Proyección de ventas'!I98:I100))</f>
        <v>7840</v>
      </c>
      <c r="J77" s="132">
        <f>'Proyección de ventas'!K98 + 'Proyección de ventas'!K99 + 'Proyección de ventas'!K100</f>
        <v>224</v>
      </c>
      <c r="K77" s="118">
        <f>C77*(SUM('Proyección de ventas'!K98:K100))</f>
        <v>7840</v>
      </c>
      <c r="L77" s="132">
        <f>'Proyección de ventas'!M98 + 'Proyección de ventas'!M99 + 'Proyección de ventas'!M100</f>
        <v>224</v>
      </c>
      <c r="M77" s="118">
        <f>C77*(SUM('Proyección de ventas'!M98:M100))</f>
        <v>7840</v>
      </c>
      <c r="N77" s="132">
        <f>'Proyección de ventas'!O98 + 'Proyección de ventas'!O99 + 'Proyección de ventas'!O100</f>
        <v>224</v>
      </c>
      <c r="O77" s="118">
        <f>C77*(SUM('Proyección de ventas'!O98:O100))</f>
        <v>7840</v>
      </c>
      <c r="P77" s="132">
        <f>'Proyección de ventas'!Q98 + 'Proyección de ventas'!Q99 + 'Proyección de ventas'!Q100</f>
        <v>224</v>
      </c>
      <c r="Q77" s="118">
        <f>C77*(SUM('Proyección de ventas'!Q98:Q100))</f>
        <v>7840</v>
      </c>
      <c r="R77" s="132">
        <f>'Proyección de ventas'!S98 + 'Proyección de ventas'!S99 + 'Proyección de ventas'!S100</f>
        <v>224</v>
      </c>
      <c r="S77" s="118">
        <f>C77*(SUM('Proyección de ventas'!S98:S100))</f>
        <v>7840</v>
      </c>
      <c r="T77" s="132">
        <f>'Proyección de ventas'!U98 + 'Proyección de ventas'!U99 + 'Proyección de ventas'!U100</f>
        <v>224</v>
      </c>
      <c r="U77" s="118">
        <f>C77*(SUM('Proyección de ventas'!U98:U100))</f>
        <v>7840</v>
      </c>
      <c r="V77" s="132">
        <f>'Proyección de ventas'!W98 + 'Proyección de ventas'!W99 + 'Proyección de ventas'!W100</f>
        <v>224</v>
      </c>
      <c r="W77" s="118">
        <f>C77*(SUM('Proyección de ventas'!W98:W100))</f>
        <v>7840</v>
      </c>
      <c r="X77" s="132">
        <f>'Proyección de ventas'!Y98 + 'Proyección de ventas'!Y99 + 'Proyección de ventas'!Y100</f>
        <v>280</v>
      </c>
      <c r="Y77" s="118">
        <f>C77*(SUM('Proyección de ventas'!Y98:Y100))</f>
        <v>9800</v>
      </c>
      <c r="Z77" s="132">
        <f>'Proyección de ventas'!AA98 + 'Proyección de ventas'!AA99 + 'Proyección de ventas'!AA100</f>
        <v>280</v>
      </c>
      <c r="AA77" s="118">
        <f>C77*(SUM('Proyección de ventas'!AA98:AA100))</f>
        <v>9800</v>
      </c>
      <c r="AB77" s="126">
        <f t="shared" ref="AB77:AB81" si="29">E77 + G77 +I77 +K77 + M77 + O77 + Q77 + S77 + U77 + W77 + Y77 + AA77</f>
        <v>98000</v>
      </c>
    </row>
    <row r="78" spans="1:28" ht="15.6" thickTop="1" thickBot="1" x14ac:dyDescent="0.35">
      <c r="A78" s="820" t="s">
        <v>45</v>
      </c>
      <c r="B78" s="115" t="str">
        <f>B10</f>
        <v>Gastos costos variables planilla de mantenimientos</v>
      </c>
      <c r="C78" s="119">
        <f>E15</f>
        <v>75000</v>
      </c>
      <c r="D78" s="116">
        <v>3</v>
      </c>
      <c r="E78" s="119">
        <f t="shared" ref="E78:E81" si="30">C78*D78</f>
        <v>225000</v>
      </c>
      <c r="F78" s="116">
        <v>3</v>
      </c>
      <c r="G78" s="119">
        <f t="shared" ref="G78:G81" si="31">C78*F78</f>
        <v>225000</v>
      </c>
      <c r="H78" s="116">
        <v>3</v>
      </c>
      <c r="I78" s="119">
        <f t="shared" ref="I78:I81" si="32">C78*H78</f>
        <v>225000</v>
      </c>
      <c r="J78" s="116">
        <v>3</v>
      </c>
      <c r="K78" s="119">
        <f t="shared" ref="K78:K81" si="33">C78*J78</f>
        <v>225000</v>
      </c>
      <c r="L78" s="116">
        <v>3</v>
      </c>
      <c r="M78" s="119">
        <f t="shared" ref="M78:M81" si="34">C78*L78</f>
        <v>225000</v>
      </c>
      <c r="N78" s="116">
        <v>3</v>
      </c>
      <c r="O78" s="119">
        <f t="shared" ref="O78:O81" si="35">C78*N78</f>
        <v>225000</v>
      </c>
      <c r="P78" s="116">
        <v>3</v>
      </c>
      <c r="Q78" s="119">
        <f t="shared" ref="Q78:Q81" si="36">C78*P78</f>
        <v>225000</v>
      </c>
      <c r="R78" s="116">
        <v>3</v>
      </c>
      <c r="S78" s="119">
        <f t="shared" ref="S78:S81" si="37">C78*R78</f>
        <v>225000</v>
      </c>
      <c r="T78" s="116">
        <v>3</v>
      </c>
      <c r="U78" s="119">
        <f t="shared" ref="U78:U81" si="38">C78*T78</f>
        <v>225000</v>
      </c>
      <c r="V78" s="116">
        <v>3</v>
      </c>
      <c r="W78" s="119">
        <f t="shared" ref="W78:W81" si="39">C78*V78</f>
        <v>225000</v>
      </c>
      <c r="X78" s="116">
        <v>3</v>
      </c>
      <c r="Y78" s="119">
        <f t="shared" ref="Y78:Y81" si="40">C78*X78</f>
        <v>225000</v>
      </c>
      <c r="Z78" s="116">
        <v>3</v>
      </c>
      <c r="AA78" s="119">
        <f t="shared" ref="AA78:AA81" si="41">C78*Z78</f>
        <v>225000</v>
      </c>
      <c r="AB78" s="127">
        <f t="shared" si="29"/>
        <v>2700000</v>
      </c>
    </row>
    <row r="79" spans="1:28" ht="15.6" thickTop="1" thickBot="1" x14ac:dyDescent="0.35">
      <c r="A79" s="820"/>
      <c r="B79" s="201" t="str">
        <f>B18</f>
        <v>MODELO: Liviana</v>
      </c>
      <c r="C79" s="202">
        <f>E26</f>
        <v>17640</v>
      </c>
      <c r="D79" s="203">
        <v>3</v>
      </c>
      <c r="E79" s="202">
        <f t="shared" si="30"/>
        <v>52920</v>
      </c>
      <c r="F79" s="203">
        <v>3</v>
      </c>
      <c r="G79" s="202">
        <f t="shared" si="31"/>
        <v>52920</v>
      </c>
      <c r="H79" s="203">
        <v>3</v>
      </c>
      <c r="I79" s="202">
        <f t="shared" si="32"/>
        <v>52920</v>
      </c>
      <c r="J79" s="203">
        <v>3</v>
      </c>
      <c r="K79" s="202">
        <f t="shared" si="33"/>
        <v>52920</v>
      </c>
      <c r="L79" s="203">
        <v>3</v>
      </c>
      <c r="M79" s="202">
        <f t="shared" si="34"/>
        <v>52920</v>
      </c>
      <c r="N79" s="203">
        <v>3</v>
      </c>
      <c r="O79" s="202">
        <f t="shared" si="35"/>
        <v>52920</v>
      </c>
      <c r="P79" s="203">
        <v>3</v>
      </c>
      <c r="Q79" s="202">
        <f t="shared" si="36"/>
        <v>52920</v>
      </c>
      <c r="R79" s="203">
        <v>3</v>
      </c>
      <c r="S79" s="202">
        <f t="shared" si="37"/>
        <v>52920</v>
      </c>
      <c r="T79" s="203">
        <v>3</v>
      </c>
      <c r="U79" s="202">
        <f t="shared" si="38"/>
        <v>52920</v>
      </c>
      <c r="V79" s="203">
        <v>3</v>
      </c>
      <c r="W79" s="202">
        <f t="shared" si="39"/>
        <v>52920</v>
      </c>
      <c r="X79" s="203">
        <v>3</v>
      </c>
      <c r="Y79" s="202">
        <f t="shared" si="40"/>
        <v>52920</v>
      </c>
      <c r="Z79" s="203">
        <v>3</v>
      </c>
      <c r="AA79" s="202">
        <f t="shared" si="41"/>
        <v>52920</v>
      </c>
      <c r="AB79" s="128">
        <f t="shared" si="29"/>
        <v>635040</v>
      </c>
    </row>
    <row r="80" spans="1:28" ht="15.6" thickTop="1" thickBot="1" x14ac:dyDescent="0.35">
      <c r="A80" s="820"/>
      <c r="B80" s="201" t="str">
        <f>B29</f>
        <v>MODELO: Creativo</v>
      </c>
      <c r="C80" s="202">
        <f>E37</f>
        <v>20640</v>
      </c>
      <c r="D80" s="203">
        <v>3</v>
      </c>
      <c r="E80" s="202">
        <f t="shared" si="30"/>
        <v>61920</v>
      </c>
      <c r="F80" s="203">
        <v>3</v>
      </c>
      <c r="G80" s="202">
        <f t="shared" si="31"/>
        <v>61920</v>
      </c>
      <c r="H80" s="203">
        <v>3</v>
      </c>
      <c r="I80" s="202">
        <f t="shared" si="32"/>
        <v>61920</v>
      </c>
      <c r="J80" s="203">
        <v>3</v>
      </c>
      <c r="K80" s="202">
        <f t="shared" si="33"/>
        <v>61920</v>
      </c>
      <c r="L80" s="203">
        <v>3</v>
      </c>
      <c r="M80" s="202">
        <f t="shared" si="34"/>
        <v>61920</v>
      </c>
      <c r="N80" s="203">
        <v>3</v>
      </c>
      <c r="O80" s="202">
        <f t="shared" si="35"/>
        <v>61920</v>
      </c>
      <c r="P80" s="203">
        <v>3</v>
      </c>
      <c r="Q80" s="202">
        <f t="shared" si="36"/>
        <v>61920</v>
      </c>
      <c r="R80" s="203">
        <v>3</v>
      </c>
      <c r="S80" s="202">
        <f t="shared" si="37"/>
        <v>61920</v>
      </c>
      <c r="T80" s="203">
        <v>3</v>
      </c>
      <c r="U80" s="202">
        <f t="shared" si="38"/>
        <v>61920</v>
      </c>
      <c r="V80" s="203">
        <v>3</v>
      </c>
      <c r="W80" s="202">
        <f t="shared" si="39"/>
        <v>61920</v>
      </c>
      <c r="X80" s="203">
        <v>3</v>
      </c>
      <c r="Y80" s="202">
        <f t="shared" si="40"/>
        <v>61920</v>
      </c>
      <c r="Z80" s="203">
        <v>3</v>
      </c>
      <c r="AA80" s="202">
        <f t="shared" si="41"/>
        <v>61920</v>
      </c>
      <c r="AB80" s="128">
        <f t="shared" si="29"/>
        <v>743040</v>
      </c>
    </row>
    <row r="81" spans="1:28" ht="15.6" thickTop="1" thickBot="1" x14ac:dyDescent="0.35">
      <c r="A81" s="820"/>
      <c r="B81" s="201" t="str">
        <f>B40</f>
        <v>MODELO: Exclusivo</v>
      </c>
      <c r="C81" s="202">
        <f>E48</f>
        <v>16740</v>
      </c>
      <c r="D81" s="203">
        <v>3</v>
      </c>
      <c r="E81" s="202">
        <f t="shared" si="30"/>
        <v>50220</v>
      </c>
      <c r="F81" s="203">
        <v>3</v>
      </c>
      <c r="G81" s="202">
        <f t="shared" si="31"/>
        <v>50220</v>
      </c>
      <c r="H81" s="203">
        <v>3</v>
      </c>
      <c r="I81" s="202">
        <f t="shared" si="32"/>
        <v>50220</v>
      </c>
      <c r="J81" s="203">
        <v>3</v>
      </c>
      <c r="K81" s="202">
        <f t="shared" si="33"/>
        <v>50220</v>
      </c>
      <c r="L81" s="203">
        <v>3</v>
      </c>
      <c r="M81" s="202">
        <f t="shared" si="34"/>
        <v>50220</v>
      </c>
      <c r="N81" s="203">
        <v>3</v>
      </c>
      <c r="O81" s="202">
        <f t="shared" si="35"/>
        <v>50220</v>
      </c>
      <c r="P81" s="203">
        <v>3</v>
      </c>
      <c r="Q81" s="202">
        <f t="shared" si="36"/>
        <v>50220</v>
      </c>
      <c r="R81" s="203">
        <v>3</v>
      </c>
      <c r="S81" s="202">
        <f t="shared" si="37"/>
        <v>50220</v>
      </c>
      <c r="T81" s="203">
        <v>3</v>
      </c>
      <c r="U81" s="202">
        <f t="shared" si="38"/>
        <v>50220</v>
      </c>
      <c r="V81" s="203">
        <v>3</v>
      </c>
      <c r="W81" s="202">
        <f t="shared" si="39"/>
        <v>50220</v>
      </c>
      <c r="X81" s="203">
        <v>3</v>
      </c>
      <c r="Y81" s="202">
        <f t="shared" si="40"/>
        <v>50220</v>
      </c>
      <c r="Z81" s="203">
        <v>3</v>
      </c>
      <c r="AA81" s="202">
        <f t="shared" si="41"/>
        <v>50220</v>
      </c>
      <c r="AB81" s="128">
        <f t="shared" si="29"/>
        <v>602640</v>
      </c>
    </row>
    <row r="82" spans="1:28" ht="15.6" thickTop="1" thickBot="1" x14ac:dyDescent="0.35">
      <c r="A82" s="816" t="s">
        <v>46</v>
      </c>
      <c r="B82" s="103" t="s">
        <v>51</v>
      </c>
      <c r="C82" s="120">
        <v>4000</v>
      </c>
      <c r="D82" s="104">
        <v>2</v>
      </c>
      <c r="E82" s="123">
        <f>D82*C82</f>
        <v>8000</v>
      </c>
      <c r="F82" s="104">
        <v>2</v>
      </c>
      <c r="G82" s="123">
        <f t="shared" ref="G82:G91" si="42">F82*C82</f>
        <v>8000</v>
      </c>
      <c r="H82" s="104">
        <v>2</v>
      </c>
      <c r="I82" s="123">
        <f t="shared" ref="I82:I91" si="43">H82*C82</f>
        <v>8000</v>
      </c>
      <c r="J82" s="104">
        <v>3</v>
      </c>
      <c r="K82" s="123">
        <f t="shared" ref="K82:K91" si="44">J82*C82</f>
        <v>12000</v>
      </c>
      <c r="L82" s="104">
        <v>3</v>
      </c>
      <c r="M82" s="123">
        <f t="shared" ref="M82:M91" si="45">L82*C82</f>
        <v>12000</v>
      </c>
      <c r="N82" s="104">
        <v>3</v>
      </c>
      <c r="O82" s="123">
        <f t="shared" ref="O82:O91" si="46">N82*C82</f>
        <v>12000</v>
      </c>
      <c r="P82" s="104">
        <v>4</v>
      </c>
      <c r="Q82" s="123">
        <f t="shared" ref="Q82:Q91" si="47">P82*C82</f>
        <v>16000</v>
      </c>
      <c r="R82" s="104">
        <v>3</v>
      </c>
      <c r="S82" s="123">
        <f t="shared" ref="S82:S91" si="48">R82*C82</f>
        <v>12000</v>
      </c>
      <c r="T82" s="104">
        <v>2</v>
      </c>
      <c r="U82" s="123">
        <f t="shared" ref="U82:U91" si="49">T82*C82</f>
        <v>8000</v>
      </c>
      <c r="V82" s="104">
        <v>2</v>
      </c>
      <c r="W82" s="123">
        <f t="shared" ref="W82:W91" si="50">V82*C82</f>
        <v>8000</v>
      </c>
      <c r="X82" s="104">
        <v>1</v>
      </c>
      <c r="Y82" s="123">
        <f t="shared" ref="Y82:Y91" si="51">X82*C82</f>
        <v>4000</v>
      </c>
      <c r="Z82" s="104">
        <v>2</v>
      </c>
      <c r="AA82" s="123">
        <f t="shared" ref="AA82:AA91" si="52">Z82*C82</f>
        <v>8000</v>
      </c>
      <c r="AB82" s="127">
        <f t="shared" ref="AB82:AB90" si="53">E82+G82+I82+K82+M82+O82+Q82+S82++U82+W82+Y82+AA82</f>
        <v>116000</v>
      </c>
    </row>
    <row r="83" spans="1:28" ht="15.6" thickTop="1" thickBot="1" x14ac:dyDescent="0.35">
      <c r="A83" s="816"/>
      <c r="B83" s="105" t="s">
        <v>52</v>
      </c>
      <c r="C83" s="121">
        <v>4000</v>
      </c>
      <c r="D83" s="106">
        <v>1</v>
      </c>
      <c r="E83" s="124">
        <f t="shared" ref="E83:E91" si="54">D83*C83</f>
        <v>4000</v>
      </c>
      <c r="F83" s="106">
        <v>1</v>
      </c>
      <c r="G83" s="124">
        <f t="shared" si="42"/>
        <v>4000</v>
      </c>
      <c r="H83" s="106">
        <v>1</v>
      </c>
      <c r="I83" s="124">
        <f t="shared" si="43"/>
        <v>4000</v>
      </c>
      <c r="J83" s="106">
        <v>1</v>
      </c>
      <c r="K83" s="124">
        <f t="shared" si="44"/>
        <v>4000</v>
      </c>
      <c r="L83" s="106">
        <v>1</v>
      </c>
      <c r="M83" s="124">
        <f t="shared" si="45"/>
        <v>4000</v>
      </c>
      <c r="N83" s="106">
        <v>1</v>
      </c>
      <c r="O83" s="124">
        <f t="shared" si="46"/>
        <v>4000</v>
      </c>
      <c r="P83" s="106">
        <v>1</v>
      </c>
      <c r="Q83" s="124">
        <f t="shared" si="47"/>
        <v>4000</v>
      </c>
      <c r="R83" s="106">
        <v>1</v>
      </c>
      <c r="S83" s="124">
        <f t="shared" si="48"/>
        <v>4000</v>
      </c>
      <c r="T83" s="106">
        <v>1</v>
      </c>
      <c r="U83" s="124">
        <f t="shared" si="49"/>
        <v>4000</v>
      </c>
      <c r="V83" s="106">
        <v>1</v>
      </c>
      <c r="W83" s="124">
        <f t="shared" si="50"/>
        <v>4000</v>
      </c>
      <c r="X83" s="106">
        <v>1</v>
      </c>
      <c r="Y83" s="124">
        <f t="shared" si="51"/>
        <v>4000</v>
      </c>
      <c r="Z83" s="106">
        <v>1</v>
      </c>
      <c r="AA83" s="124">
        <f t="shared" si="52"/>
        <v>4000</v>
      </c>
      <c r="AB83" s="128">
        <f t="shared" si="53"/>
        <v>48000</v>
      </c>
    </row>
    <row r="84" spans="1:28" ht="15.6" thickTop="1" thickBot="1" x14ac:dyDescent="0.35">
      <c r="A84" s="816"/>
      <c r="B84" s="107" t="s">
        <v>53</v>
      </c>
      <c r="C84" s="122">
        <v>2000</v>
      </c>
      <c r="D84" s="108">
        <v>2</v>
      </c>
      <c r="E84" s="125">
        <f t="shared" si="54"/>
        <v>4000</v>
      </c>
      <c r="F84" s="108">
        <v>1</v>
      </c>
      <c r="G84" s="125">
        <f t="shared" si="42"/>
        <v>2000</v>
      </c>
      <c r="H84" s="108">
        <v>1</v>
      </c>
      <c r="I84" s="125">
        <f t="shared" si="43"/>
        <v>2000</v>
      </c>
      <c r="J84" s="108">
        <v>1</v>
      </c>
      <c r="K84" s="125">
        <f t="shared" si="44"/>
        <v>2000</v>
      </c>
      <c r="L84" s="108">
        <v>1</v>
      </c>
      <c r="M84" s="125">
        <f t="shared" si="45"/>
        <v>2000</v>
      </c>
      <c r="N84" s="108">
        <v>2</v>
      </c>
      <c r="O84" s="125">
        <f t="shared" si="46"/>
        <v>4000</v>
      </c>
      <c r="P84" s="108">
        <v>2</v>
      </c>
      <c r="Q84" s="125">
        <f t="shared" si="47"/>
        <v>4000</v>
      </c>
      <c r="R84" s="108">
        <v>1</v>
      </c>
      <c r="S84" s="125">
        <f t="shared" si="48"/>
        <v>2000</v>
      </c>
      <c r="T84" s="108">
        <v>1</v>
      </c>
      <c r="U84" s="125">
        <f t="shared" si="49"/>
        <v>2000</v>
      </c>
      <c r="V84" s="108">
        <v>2</v>
      </c>
      <c r="W84" s="125">
        <f t="shared" si="50"/>
        <v>4000</v>
      </c>
      <c r="X84" s="108">
        <v>2</v>
      </c>
      <c r="Y84" s="125">
        <f t="shared" si="51"/>
        <v>4000</v>
      </c>
      <c r="Z84" s="108">
        <v>4</v>
      </c>
      <c r="AA84" s="125">
        <f t="shared" si="52"/>
        <v>8000</v>
      </c>
      <c r="AB84" s="129">
        <f t="shared" si="53"/>
        <v>40000</v>
      </c>
    </row>
    <row r="85" spans="1:28" ht="15.6" thickTop="1" thickBot="1" x14ac:dyDescent="0.35">
      <c r="A85" s="816" t="s">
        <v>47</v>
      </c>
      <c r="B85" s="103" t="s">
        <v>403</v>
      </c>
      <c r="C85" s="120">
        <v>12500</v>
      </c>
      <c r="D85" s="104">
        <v>1</v>
      </c>
      <c r="E85" s="123">
        <f t="shared" si="54"/>
        <v>12500</v>
      </c>
      <c r="F85" s="104">
        <v>1</v>
      </c>
      <c r="G85" s="123">
        <f t="shared" si="42"/>
        <v>12500</v>
      </c>
      <c r="H85" s="104">
        <v>1</v>
      </c>
      <c r="I85" s="123">
        <f t="shared" si="43"/>
        <v>12500</v>
      </c>
      <c r="J85" s="104">
        <v>1</v>
      </c>
      <c r="K85" s="123">
        <f t="shared" si="44"/>
        <v>12500</v>
      </c>
      <c r="L85" s="104">
        <v>1</v>
      </c>
      <c r="M85" s="123">
        <f t="shared" si="45"/>
        <v>12500</v>
      </c>
      <c r="N85" s="104">
        <v>1</v>
      </c>
      <c r="O85" s="123">
        <f t="shared" si="46"/>
        <v>12500</v>
      </c>
      <c r="P85" s="104">
        <v>1</v>
      </c>
      <c r="Q85" s="123">
        <f t="shared" si="47"/>
        <v>12500</v>
      </c>
      <c r="R85" s="104">
        <v>1</v>
      </c>
      <c r="S85" s="123">
        <f t="shared" si="48"/>
        <v>12500</v>
      </c>
      <c r="T85" s="104">
        <v>1</v>
      </c>
      <c r="U85" s="123">
        <f t="shared" si="49"/>
        <v>12500</v>
      </c>
      <c r="V85" s="104">
        <v>1</v>
      </c>
      <c r="W85" s="123">
        <f t="shared" si="50"/>
        <v>12500</v>
      </c>
      <c r="X85" s="104">
        <v>1</v>
      </c>
      <c r="Y85" s="123">
        <f t="shared" si="51"/>
        <v>12500</v>
      </c>
      <c r="Z85" s="104">
        <v>1</v>
      </c>
      <c r="AA85" s="123">
        <f t="shared" si="52"/>
        <v>12500</v>
      </c>
      <c r="AB85" s="127">
        <f t="shared" si="53"/>
        <v>150000</v>
      </c>
    </row>
    <row r="86" spans="1:28" ht="15.6" thickTop="1" thickBot="1" x14ac:dyDescent="0.35">
      <c r="A86" s="817"/>
      <c r="B86" s="105" t="s">
        <v>90</v>
      </c>
      <c r="C86" s="121">
        <v>3500</v>
      </c>
      <c r="D86" s="106">
        <v>1</v>
      </c>
      <c r="E86" s="124">
        <f t="shared" si="54"/>
        <v>3500</v>
      </c>
      <c r="F86" s="106">
        <v>1</v>
      </c>
      <c r="G86" s="124">
        <f t="shared" si="42"/>
        <v>3500</v>
      </c>
      <c r="H86" s="106">
        <v>1</v>
      </c>
      <c r="I86" s="124">
        <f t="shared" si="43"/>
        <v>3500</v>
      </c>
      <c r="J86" s="106">
        <v>1</v>
      </c>
      <c r="K86" s="124">
        <f t="shared" si="44"/>
        <v>3500</v>
      </c>
      <c r="L86" s="106">
        <v>1</v>
      </c>
      <c r="M86" s="124">
        <f t="shared" si="45"/>
        <v>3500</v>
      </c>
      <c r="N86" s="106">
        <v>2</v>
      </c>
      <c r="O86" s="124">
        <f t="shared" si="46"/>
        <v>7000</v>
      </c>
      <c r="P86" s="106">
        <v>1</v>
      </c>
      <c r="Q86" s="124">
        <f t="shared" si="47"/>
        <v>3500</v>
      </c>
      <c r="R86" s="106">
        <v>1</v>
      </c>
      <c r="S86" s="124">
        <f t="shared" si="48"/>
        <v>3500</v>
      </c>
      <c r="T86" s="106">
        <v>1</v>
      </c>
      <c r="U86" s="124">
        <f t="shared" si="49"/>
        <v>3500</v>
      </c>
      <c r="V86" s="106">
        <v>1</v>
      </c>
      <c r="W86" s="124">
        <f t="shared" si="50"/>
        <v>3500</v>
      </c>
      <c r="X86" s="106">
        <v>1</v>
      </c>
      <c r="Y86" s="124">
        <f t="shared" si="51"/>
        <v>3500</v>
      </c>
      <c r="Z86" s="106">
        <v>1</v>
      </c>
      <c r="AA86" s="124">
        <f t="shared" si="52"/>
        <v>3500</v>
      </c>
      <c r="AB86" s="128">
        <f t="shared" si="53"/>
        <v>45500</v>
      </c>
    </row>
    <row r="87" spans="1:28" ht="15.6" thickTop="1" thickBot="1" x14ac:dyDescent="0.35">
      <c r="A87" s="817"/>
      <c r="B87" s="107" t="s">
        <v>91</v>
      </c>
      <c r="C87" s="122">
        <v>3500</v>
      </c>
      <c r="D87" s="108">
        <v>1</v>
      </c>
      <c r="E87" s="125">
        <f t="shared" si="54"/>
        <v>3500</v>
      </c>
      <c r="F87" s="108">
        <v>1</v>
      </c>
      <c r="G87" s="125">
        <f t="shared" si="42"/>
        <v>3500</v>
      </c>
      <c r="H87" s="108">
        <v>1</v>
      </c>
      <c r="I87" s="125">
        <f t="shared" si="43"/>
        <v>3500</v>
      </c>
      <c r="J87" s="108">
        <v>1</v>
      </c>
      <c r="K87" s="125">
        <f t="shared" si="44"/>
        <v>3500</v>
      </c>
      <c r="L87" s="108">
        <v>1</v>
      </c>
      <c r="M87" s="125">
        <f t="shared" si="45"/>
        <v>3500</v>
      </c>
      <c r="N87" s="108">
        <v>2</v>
      </c>
      <c r="O87" s="125">
        <f t="shared" si="46"/>
        <v>7000</v>
      </c>
      <c r="P87" s="108">
        <v>1</v>
      </c>
      <c r="Q87" s="125">
        <f t="shared" si="47"/>
        <v>3500</v>
      </c>
      <c r="R87" s="108">
        <v>1</v>
      </c>
      <c r="S87" s="125">
        <f t="shared" si="48"/>
        <v>3500</v>
      </c>
      <c r="T87" s="108">
        <v>1</v>
      </c>
      <c r="U87" s="125">
        <f t="shared" si="49"/>
        <v>3500</v>
      </c>
      <c r="V87" s="108">
        <v>1</v>
      </c>
      <c r="W87" s="125">
        <f t="shared" si="50"/>
        <v>3500</v>
      </c>
      <c r="X87" s="108">
        <v>1</v>
      </c>
      <c r="Y87" s="125">
        <f t="shared" si="51"/>
        <v>3500</v>
      </c>
      <c r="Z87" s="108">
        <v>1</v>
      </c>
      <c r="AA87" s="125">
        <f t="shared" si="52"/>
        <v>3500</v>
      </c>
      <c r="AB87" s="129">
        <f t="shared" si="53"/>
        <v>45500</v>
      </c>
    </row>
    <row r="88" spans="1:28" ht="15" thickTop="1" x14ac:dyDescent="0.3">
      <c r="A88" s="814" t="s">
        <v>48</v>
      </c>
      <c r="B88" s="103" t="s">
        <v>401</v>
      </c>
      <c r="C88" s="120">
        <v>450000</v>
      </c>
      <c r="D88" s="104">
        <v>1</v>
      </c>
      <c r="E88" s="123">
        <f t="shared" si="54"/>
        <v>450000</v>
      </c>
      <c r="F88" s="104">
        <v>1</v>
      </c>
      <c r="G88" s="123">
        <f t="shared" si="42"/>
        <v>450000</v>
      </c>
      <c r="H88" s="104">
        <v>1</v>
      </c>
      <c r="I88" s="123">
        <f t="shared" si="43"/>
        <v>450000</v>
      </c>
      <c r="J88" s="104">
        <v>1</v>
      </c>
      <c r="K88" s="123">
        <f t="shared" si="44"/>
        <v>450000</v>
      </c>
      <c r="L88" s="104">
        <v>1</v>
      </c>
      <c r="M88" s="123">
        <f t="shared" si="45"/>
        <v>450000</v>
      </c>
      <c r="N88" s="104">
        <v>1</v>
      </c>
      <c r="O88" s="123">
        <f t="shared" si="46"/>
        <v>450000</v>
      </c>
      <c r="P88" s="104">
        <v>1</v>
      </c>
      <c r="Q88" s="123">
        <f t="shared" si="47"/>
        <v>450000</v>
      </c>
      <c r="R88" s="104">
        <v>1</v>
      </c>
      <c r="S88" s="123">
        <f t="shared" si="48"/>
        <v>450000</v>
      </c>
      <c r="T88" s="104">
        <v>1</v>
      </c>
      <c r="U88" s="123">
        <f t="shared" si="49"/>
        <v>450000</v>
      </c>
      <c r="V88" s="104">
        <v>1</v>
      </c>
      <c r="W88" s="123">
        <f t="shared" si="50"/>
        <v>450000</v>
      </c>
      <c r="X88" s="104">
        <v>1</v>
      </c>
      <c r="Y88" s="123">
        <f t="shared" si="51"/>
        <v>450000</v>
      </c>
      <c r="Z88" s="104">
        <v>1</v>
      </c>
      <c r="AA88" s="123">
        <f t="shared" si="52"/>
        <v>450000</v>
      </c>
      <c r="AB88" s="127">
        <f t="shared" si="53"/>
        <v>5400000</v>
      </c>
    </row>
    <row r="89" spans="1:28" ht="15" thickBot="1" x14ac:dyDescent="0.35">
      <c r="A89" s="815"/>
      <c r="B89" s="472" t="s">
        <v>95</v>
      </c>
      <c r="C89" s="473">
        <v>60000</v>
      </c>
      <c r="D89" s="474">
        <v>1</v>
      </c>
      <c r="E89" s="475">
        <f t="shared" si="54"/>
        <v>60000</v>
      </c>
      <c r="F89" s="474">
        <v>1</v>
      </c>
      <c r="G89" s="475">
        <f t="shared" si="42"/>
        <v>60000</v>
      </c>
      <c r="H89" s="474">
        <v>1</v>
      </c>
      <c r="I89" s="475">
        <f t="shared" si="43"/>
        <v>60000</v>
      </c>
      <c r="J89" s="474">
        <v>1</v>
      </c>
      <c r="K89" s="475">
        <f t="shared" si="44"/>
        <v>60000</v>
      </c>
      <c r="L89" s="474">
        <v>1</v>
      </c>
      <c r="M89" s="475">
        <f t="shared" si="45"/>
        <v>60000</v>
      </c>
      <c r="N89" s="474">
        <v>1</v>
      </c>
      <c r="O89" s="475">
        <f t="shared" si="46"/>
        <v>60000</v>
      </c>
      <c r="P89" s="474">
        <v>2</v>
      </c>
      <c r="Q89" s="475">
        <f t="shared" si="47"/>
        <v>120000</v>
      </c>
      <c r="R89" s="474">
        <v>1</v>
      </c>
      <c r="S89" s="475">
        <f t="shared" si="48"/>
        <v>60000</v>
      </c>
      <c r="T89" s="474">
        <v>1</v>
      </c>
      <c r="U89" s="475">
        <f t="shared" si="49"/>
        <v>60000</v>
      </c>
      <c r="V89" s="474">
        <v>1</v>
      </c>
      <c r="W89" s="475">
        <f t="shared" si="50"/>
        <v>60000</v>
      </c>
      <c r="X89" s="474">
        <v>1</v>
      </c>
      <c r="Y89" s="475">
        <f t="shared" si="51"/>
        <v>60000</v>
      </c>
      <c r="Z89" s="474">
        <v>3</v>
      </c>
      <c r="AA89" s="475">
        <f t="shared" si="52"/>
        <v>180000</v>
      </c>
      <c r="AB89" s="476">
        <f t="shared" si="53"/>
        <v>900000</v>
      </c>
    </row>
    <row r="90" spans="1:28" ht="15.6" thickTop="1" thickBot="1" x14ac:dyDescent="0.35">
      <c r="A90" s="117" t="s">
        <v>49</v>
      </c>
      <c r="B90" s="130" t="s">
        <v>93</v>
      </c>
      <c r="C90" s="131">
        <v>55000</v>
      </c>
      <c r="D90" s="132">
        <v>1</v>
      </c>
      <c r="E90" s="118">
        <f t="shared" si="54"/>
        <v>55000</v>
      </c>
      <c r="F90" s="132">
        <v>1</v>
      </c>
      <c r="G90" s="118">
        <f t="shared" si="42"/>
        <v>55000</v>
      </c>
      <c r="H90" s="132">
        <v>1</v>
      </c>
      <c r="I90" s="118">
        <f t="shared" si="43"/>
        <v>55000</v>
      </c>
      <c r="J90" s="132">
        <v>1</v>
      </c>
      <c r="K90" s="118">
        <f t="shared" si="44"/>
        <v>55000</v>
      </c>
      <c r="L90" s="132">
        <v>2</v>
      </c>
      <c r="M90" s="118">
        <f t="shared" si="45"/>
        <v>110000</v>
      </c>
      <c r="N90" s="132">
        <v>2</v>
      </c>
      <c r="O90" s="118">
        <f t="shared" si="46"/>
        <v>110000</v>
      </c>
      <c r="P90" s="132">
        <v>4</v>
      </c>
      <c r="Q90" s="118">
        <f t="shared" si="47"/>
        <v>220000</v>
      </c>
      <c r="R90" s="132">
        <v>1</v>
      </c>
      <c r="S90" s="118">
        <f t="shared" si="48"/>
        <v>55000</v>
      </c>
      <c r="T90" s="132">
        <v>1</v>
      </c>
      <c r="U90" s="118">
        <f t="shared" si="49"/>
        <v>55000</v>
      </c>
      <c r="V90" s="132">
        <v>2</v>
      </c>
      <c r="W90" s="118">
        <f t="shared" si="50"/>
        <v>110000</v>
      </c>
      <c r="X90" s="132">
        <v>2</v>
      </c>
      <c r="Y90" s="118">
        <f t="shared" si="51"/>
        <v>110000</v>
      </c>
      <c r="Z90" s="132">
        <v>4</v>
      </c>
      <c r="AA90" s="118">
        <f t="shared" si="52"/>
        <v>220000</v>
      </c>
      <c r="AB90" s="133">
        <f t="shared" si="53"/>
        <v>1210000</v>
      </c>
    </row>
    <row r="91" spans="1:28" ht="15.6" thickTop="1" thickBot="1" x14ac:dyDescent="0.35">
      <c r="A91" s="117" t="s">
        <v>50</v>
      </c>
      <c r="B91" s="130" t="s">
        <v>92</v>
      </c>
      <c r="C91" s="131">
        <v>27000</v>
      </c>
      <c r="D91" s="132">
        <v>16</v>
      </c>
      <c r="E91" s="118">
        <f t="shared" si="54"/>
        <v>432000</v>
      </c>
      <c r="F91" s="132">
        <v>16</v>
      </c>
      <c r="G91" s="118">
        <f t="shared" si="42"/>
        <v>432000</v>
      </c>
      <c r="H91" s="132">
        <v>16</v>
      </c>
      <c r="I91" s="118">
        <f t="shared" si="43"/>
        <v>432000</v>
      </c>
      <c r="J91" s="132">
        <v>16</v>
      </c>
      <c r="K91" s="118">
        <f t="shared" si="44"/>
        <v>432000</v>
      </c>
      <c r="L91" s="132">
        <v>16</v>
      </c>
      <c r="M91" s="118">
        <f t="shared" si="45"/>
        <v>432000</v>
      </c>
      <c r="N91" s="132">
        <v>16</v>
      </c>
      <c r="O91" s="118">
        <f t="shared" si="46"/>
        <v>432000</v>
      </c>
      <c r="P91" s="132">
        <v>16</v>
      </c>
      <c r="Q91" s="118">
        <f t="shared" si="47"/>
        <v>432000</v>
      </c>
      <c r="R91" s="132">
        <v>16</v>
      </c>
      <c r="S91" s="118">
        <f t="shared" si="48"/>
        <v>432000</v>
      </c>
      <c r="T91" s="132">
        <v>16</v>
      </c>
      <c r="U91" s="118">
        <f t="shared" si="49"/>
        <v>432000</v>
      </c>
      <c r="V91" s="132">
        <v>16</v>
      </c>
      <c r="W91" s="118">
        <f t="shared" si="50"/>
        <v>432000</v>
      </c>
      <c r="X91" s="132">
        <v>20</v>
      </c>
      <c r="Y91" s="118">
        <f t="shared" si="51"/>
        <v>540000</v>
      </c>
      <c r="Z91" s="132">
        <v>20</v>
      </c>
      <c r="AA91" s="118">
        <f t="shared" si="52"/>
        <v>540000</v>
      </c>
      <c r="AB91" s="133">
        <f>E91+G91+I91+K91+M91+O91+Q91+S91+U91+W91+Y91+AA91</f>
        <v>5400000</v>
      </c>
    </row>
    <row r="92" spans="1:28" ht="15.6" thickTop="1" thickBot="1" x14ac:dyDescent="0.35">
      <c r="A92" s="100"/>
      <c r="B92" s="134" t="s">
        <v>44</v>
      </c>
      <c r="C92" s="135"/>
      <c r="D92" s="135"/>
      <c r="E92" s="137">
        <f>SUM(E77:E91)</f>
        <v>1430400</v>
      </c>
      <c r="F92" s="136"/>
      <c r="G92" s="137">
        <f>SUM(G77:G91)</f>
        <v>1428400</v>
      </c>
      <c r="H92" s="136"/>
      <c r="I92" s="137">
        <f>SUM(I77:I91)</f>
        <v>1428400</v>
      </c>
      <c r="J92" s="136"/>
      <c r="K92" s="137">
        <f>SUM(K77:K91)</f>
        <v>1432400</v>
      </c>
      <c r="L92" s="136"/>
      <c r="M92" s="137">
        <f>SUM(M77:M91)</f>
        <v>1487400</v>
      </c>
      <c r="N92" s="135"/>
      <c r="O92" s="137">
        <f>SUM(O77:O91)</f>
        <v>1496400</v>
      </c>
      <c r="P92" s="136"/>
      <c r="Q92" s="137">
        <f>SUM(Q77:Q91)</f>
        <v>1663400</v>
      </c>
      <c r="R92" s="136"/>
      <c r="S92" s="137">
        <f>SUM(S77:S91)</f>
        <v>1432400</v>
      </c>
      <c r="T92" s="136"/>
      <c r="U92" s="137">
        <f>SUM(U77:U91)</f>
        <v>1428400</v>
      </c>
      <c r="V92" s="136"/>
      <c r="W92" s="137">
        <f>SUM(W77:W91)</f>
        <v>1485400</v>
      </c>
      <c r="X92" s="136"/>
      <c r="Y92" s="137">
        <f>SUM(Y77:Y91)</f>
        <v>1591360</v>
      </c>
      <c r="Z92" s="136"/>
      <c r="AA92" s="137">
        <f>SUM(AA77:AA91)</f>
        <v>1829360</v>
      </c>
      <c r="AB92" s="137">
        <f>SUM(AB77:AB91)</f>
        <v>18133720</v>
      </c>
    </row>
    <row r="93" spans="1:28" ht="15" thickTop="1" x14ac:dyDescent="0.3"/>
    <row r="95" spans="1:28" ht="15" thickBot="1" x14ac:dyDescent="0.35"/>
    <row r="96" spans="1:28" ht="24.75" customHeight="1" thickTop="1" x14ac:dyDescent="0.5">
      <c r="A96" s="72"/>
      <c r="B96" s="1027" t="s">
        <v>469</v>
      </c>
      <c r="C96" s="1028"/>
      <c r="D96" s="1028"/>
      <c r="E96" s="1028"/>
      <c r="F96" s="1028"/>
      <c r="G96" s="1028"/>
      <c r="H96" s="1028"/>
      <c r="I96" s="1028"/>
      <c r="J96" s="1028"/>
      <c r="K96" s="1028"/>
      <c r="L96" s="1028"/>
      <c r="M96" s="1028"/>
      <c r="N96" s="1028"/>
      <c r="O96" s="1028"/>
      <c r="P96" s="1028"/>
      <c r="Q96" s="1028"/>
      <c r="R96" s="1028"/>
      <c r="S96" s="1028"/>
      <c r="T96" s="1028"/>
      <c r="U96" s="1028"/>
      <c r="V96" s="1028"/>
      <c r="W96" s="1028"/>
      <c r="X96" s="1028"/>
      <c r="Y96" s="1028"/>
      <c r="Z96" s="1028"/>
      <c r="AA96" s="1028"/>
      <c r="AB96" s="1029"/>
    </row>
    <row r="97" spans="1:28" ht="15" thickBot="1" x14ac:dyDescent="0.35">
      <c r="A97" s="110"/>
      <c r="B97" s="818" t="s">
        <v>27</v>
      </c>
      <c r="C97" s="819"/>
      <c r="D97" s="819" t="s">
        <v>28</v>
      </c>
      <c r="E97" s="819"/>
      <c r="F97" s="101" t="s">
        <v>29</v>
      </c>
      <c r="G97" s="101"/>
      <c r="H97" s="819" t="s">
        <v>30</v>
      </c>
      <c r="I97" s="819"/>
      <c r="J97" s="101" t="s">
        <v>31</v>
      </c>
      <c r="K97" s="101"/>
      <c r="L97" s="819" t="s">
        <v>32</v>
      </c>
      <c r="M97" s="819"/>
      <c r="N97" s="819" t="s">
        <v>33</v>
      </c>
      <c r="O97" s="819"/>
      <c r="P97" s="819" t="s">
        <v>34</v>
      </c>
      <c r="Q97" s="819"/>
      <c r="R97" s="819" t="s">
        <v>35</v>
      </c>
      <c r="S97" s="819"/>
      <c r="T97" s="819" t="s">
        <v>36</v>
      </c>
      <c r="U97" s="819"/>
      <c r="V97" s="819" t="s">
        <v>37</v>
      </c>
      <c r="W97" s="819"/>
      <c r="X97" s="819" t="s">
        <v>38</v>
      </c>
      <c r="Y97" s="819"/>
      <c r="Z97" s="819" t="s">
        <v>39</v>
      </c>
      <c r="AA97" s="819"/>
      <c r="AB97" s="821" t="s">
        <v>9</v>
      </c>
    </row>
    <row r="98" spans="1:28" ht="15.6" thickTop="1" thickBot="1" x14ac:dyDescent="0.35">
      <c r="A98" s="111" t="s">
        <v>66</v>
      </c>
      <c r="B98" s="112" t="s">
        <v>40</v>
      </c>
      <c r="C98" s="102" t="s">
        <v>41</v>
      </c>
      <c r="D98" s="102" t="s">
        <v>42</v>
      </c>
      <c r="E98" s="102" t="s">
        <v>43</v>
      </c>
      <c r="F98" s="102" t="s">
        <v>42</v>
      </c>
      <c r="G98" s="102" t="s">
        <v>43</v>
      </c>
      <c r="H98" s="102" t="s">
        <v>42</v>
      </c>
      <c r="I98" s="102" t="s">
        <v>43</v>
      </c>
      <c r="J98" s="102" t="s">
        <v>42</v>
      </c>
      <c r="K98" s="102" t="s">
        <v>43</v>
      </c>
      <c r="L98" s="102" t="s">
        <v>42</v>
      </c>
      <c r="M98" s="102" t="s">
        <v>43</v>
      </c>
      <c r="N98" s="102" t="s">
        <v>42</v>
      </c>
      <c r="O98" s="102" t="s">
        <v>43</v>
      </c>
      <c r="P98" s="102" t="s">
        <v>42</v>
      </c>
      <c r="Q98" s="102" t="s">
        <v>43</v>
      </c>
      <c r="R98" s="102" t="s">
        <v>42</v>
      </c>
      <c r="S98" s="102" t="s">
        <v>43</v>
      </c>
      <c r="T98" s="102" t="s">
        <v>42</v>
      </c>
      <c r="U98" s="102" t="s">
        <v>43</v>
      </c>
      <c r="V98" s="102" t="s">
        <v>42</v>
      </c>
      <c r="W98" s="102" t="s">
        <v>43</v>
      </c>
      <c r="X98" s="102" t="s">
        <v>42</v>
      </c>
      <c r="Y98" s="102" t="s">
        <v>43</v>
      </c>
      <c r="Z98" s="102" t="s">
        <v>42</v>
      </c>
      <c r="AA98" s="102" t="s">
        <v>43</v>
      </c>
      <c r="AB98" s="822"/>
    </row>
    <row r="99" spans="1:28" ht="15.6" thickTop="1" thickBot="1" x14ac:dyDescent="0.35">
      <c r="A99" s="113" t="s">
        <v>109</v>
      </c>
      <c r="B99" s="114" t="s">
        <v>94</v>
      </c>
      <c r="C99" s="118">
        <v>45</v>
      </c>
      <c r="D99" s="132">
        <f>'Proyección de ventas'!E150 + 'Proyección de ventas'!E151 + 'Proyección de ventas'!E152</f>
        <v>344</v>
      </c>
      <c r="E99" s="118">
        <f>C99*(SUM('Proyección de ventas'!E150:E152))</f>
        <v>15480</v>
      </c>
      <c r="F99" s="132">
        <f>'Proyección de ventas'!G150 + 'Proyección de ventas'!G151 + 'Proyección de ventas'!G152</f>
        <v>344</v>
      </c>
      <c r="G99" s="118">
        <f>C99*(SUM('Proyección de ventas'!G150:G152))</f>
        <v>15480</v>
      </c>
      <c r="H99" s="132">
        <f>'Proyección de ventas'!I150 + 'Proyección de ventas'!I151 + 'Proyección de ventas'!I152</f>
        <v>344</v>
      </c>
      <c r="I99" s="118">
        <f>C99*(SUM('Proyección de ventas'!I150:I152))</f>
        <v>15480</v>
      </c>
      <c r="J99" s="132">
        <f>'Proyección de ventas'!K150 + 'Proyección de ventas'!K151 + 'Proyección de ventas'!K152</f>
        <v>344</v>
      </c>
      <c r="K99" s="118">
        <f>C99*(SUM('Proyección de ventas'!K150:K152))</f>
        <v>15480</v>
      </c>
      <c r="L99" s="132">
        <f>'Proyección de ventas'!M150 + 'Proyección de ventas'!M151 + 'Proyección de ventas'!M152</f>
        <v>344</v>
      </c>
      <c r="M99" s="118">
        <f>C99*(SUM('Proyección de ventas'!M150:M152))</f>
        <v>15480</v>
      </c>
      <c r="N99" s="132">
        <f>'Proyección de ventas'!O150 + 'Proyección de ventas'!O151 + 'Proyección de ventas'!O152</f>
        <v>344</v>
      </c>
      <c r="O99" s="118">
        <f>C99*(SUM('Proyección de ventas'!O150:O152))</f>
        <v>15480</v>
      </c>
      <c r="P99" s="132">
        <f>'Proyección de ventas'!Q150 + 'Proyección de ventas'!Q151 + 'Proyección de ventas'!Q152</f>
        <v>344</v>
      </c>
      <c r="Q99" s="118">
        <f>C99*(SUM('Proyección de ventas'!Q150:Q152))</f>
        <v>15480</v>
      </c>
      <c r="R99" s="132">
        <f>'Proyección de ventas'!S150 + 'Proyección de ventas'!S151 + 'Proyección de ventas'!S152</f>
        <v>344</v>
      </c>
      <c r="S99" s="118">
        <f>C99*(SUM('Proyección de ventas'!S150:S152))</f>
        <v>15480</v>
      </c>
      <c r="T99" s="132">
        <f>'Proyección de ventas'!U150 + 'Proyección de ventas'!U151 + 'Proyección de ventas'!U152</f>
        <v>344</v>
      </c>
      <c r="U99" s="118">
        <f>C99*(SUM('Proyección de ventas'!U150:U152))</f>
        <v>15480</v>
      </c>
      <c r="V99" s="132">
        <f>'Proyección de ventas'!W150 + 'Proyección de ventas'!W151 + 'Proyección de ventas'!W152</f>
        <v>344</v>
      </c>
      <c r="W99" s="118">
        <f>C99*(SUM('Proyección de ventas'!W150:W152))</f>
        <v>15480</v>
      </c>
      <c r="X99" s="132">
        <f>'Proyección de ventas'!Y150 + 'Proyección de ventas'!Y151 + 'Proyección de ventas'!Y152</f>
        <v>430</v>
      </c>
      <c r="Y99" s="118">
        <f>C99*(SUM('Proyección de ventas'!Y150:Y152))</f>
        <v>19350</v>
      </c>
      <c r="Z99" s="132">
        <f>'Proyección de ventas'!AA150 + 'Proyección de ventas'!AA151 + 'Proyección de ventas'!AA152</f>
        <v>430</v>
      </c>
      <c r="AA99" s="118">
        <f>C99*(SUM('Proyección de ventas'!AA150:AA152))</f>
        <v>19350</v>
      </c>
      <c r="AB99" s="126">
        <f t="shared" ref="AB99:AB103" si="55">E99 + G99 +I99 +K99 + M99 + O99 + Q99 + S99 + U99 + W99 + Y99 + AA99</f>
        <v>193500</v>
      </c>
    </row>
    <row r="100" spans="1:28" ht="15.6" thickTop="1" thickBot="1" x14ac:dyDescent="0.35">
      <c r="A100" s="820" t="s">
        <v>45</v>
      </c>
      <c r="B100" s="115" t="str">
        <f>B10</f>
        <v>Gastos costos variables planilla de mantenimientos</v>
      </c>
      <c r="C100" s="119">
        <f>E15</f>
        <v>75000</v>
      </c>
      <c r="D100" s="116">
        <v>5</v>
      </c>
      <c r="E100" s="119">
        <f t="shared" ref="E100:E103" si="56">C100*D100</f>
        <v>375000</v>
      </c>
      <c r="F100" s="116">
        <v>5</v>
      </c>
      <c r="G100" s="119">
        <f t="shared" ref="G100:G103" si="57">C100*F100</f>
        <v>375000</v>
      </c>
      <c r="H100" s="116">
        <v>5</v>
      </c>
      <c r="I100" s="119">
        <f t="shared" ref="I100:I103" si="58">C100*H100</f>
        <v>375000</v>
      </c>
      <c r="J100" s="116">
        <v>5</v>
      </c>
      <c r="K100" s="119">
        <f t="shared" ref="K100:K103" si="59">C100*J100</f>
        <v>375000</v>
      </c>
      <c r="L100" s="116">
        <v>5</v>
      </c>
      <c r="M100" s="119">
        <f t="shared" ref="M100:M103" si="60">C100*L100</f>
        <v>375000</v>
      </c>
      <c r="N100" s="116">
        <v>5</v>
      </c>
      <c r="O100" s="119">
        <f t="shared" ref="O100:O103" si="61">C100*N100</f>
        <v>375000</v>
      </c>
      <c r="P100" s="116">
        <v>5</v>
      </c>
      <c r="Q100" s="119">
        <f t="shared" ref="Q100:Q103" si="62">C100*P100</f>
        <v>375000</v>
      </c>
      <c r="R100" s="116">
        <v>5</v>
      </c>
      <c r="S100" s="119">
        <f t="shared" ref="S100:S103" si="63">C100*R100</f>
        <v>375000</v>
      </c>
      <c r="T100" s="116">
        <v>5</v>
      </c>
      <c r="U100" s="119">
        <f t="shared" ref="U100:U103" si="64">C100*T100</f>
        <v>375000</v>
      </c>
      <c r="V100" s="116">
        <v>5</v>
      </c>
      <c r="W100" s="119">
        <f t="shared" ref="W100:W103" si="65">C100*V100</f>
        <v>375000</v>
      </c>
      <c r="X100" s="116">
        <v>5</v>
      </c>
      <c r="Y100" s="119">
        <f t="shared" ref="Y100:Y103" si="66">C100*X100</f>
        <v>375000</v>
      </c>
      <c r="Z100" s="116">
        <v>5</v>
      </c>
      <c r="AA100" s="119">
        <f t="shared" ref="AA100:AA103" si="67">C100*Z100</f>
        <v>375000</v>
      </c>
      <c r="AB100" s="127">
        <f t="shared" si="55"/>
        <v>4500000</v>
      </c>
    </row>
    <row r="101" spans="1:28" ht="15.6" thickTop="1" thickBot="1" x14ac:dyDescent="0.35">
      <c r="A101" s="820"/>
      <c r="B101" s="201" t="str">
        <f>B18</f>
        <v>MODELO: Liviana</v>
      </c>
      <c r="C101" s="202">
        <f>E26</f>
        <v>17640</v>
      </c>
      <c r="D101" s="203">
        <v>5</v>
      </c>
      <c r="E101" s="202">
        <f t="shared" si="56"/>
        <v>88200</v>
      </c>
      <c r="F101" s="203">
        <v>5</v>
      </c>
      <c r="G101" s="202">
        <f t="shared" si="57"/>
        <v>88200</v>
      </c>
      <c r="H101" s="203">
        <v>5</v>
      </c>
      <c r="I101" s="202">
        <f t="shared" si="58"/>
        <v>88200</v>
      </c>
      <c r="J101" s="203">
        <v>5</v>
      </c>
      <c r="K101" s="202">
        <f t="shared" si="59"/>
        <v>88200</v>
      </c>
      <c r="L101" s="203">
        <v>5</v>
      </c>
      <c r="M101" s="202">
        <f t="shared" si="60"/>
        <v>88200</v>
      </c>
      <c r="N101" s="203">
        <v>5</v>
      </c>
      <c r="O101" s="202">
        <f t="shared" si="61"/>
        <v>88200</v>
      </c>
      <c r="P101" s="203">
        <v>5</v>
      </c>
      <c r="Q101" s="202">
        <f t="shared" si="62"/>
        <v>88200</v>
      </c>
      <c r="R101" s="203">
        <v>5</v>
      </c>
      <c r="S101" s="202">
        <f t="shared" si="63"/>
        <v>88200</v>
      </c>
      <c r="T101" s="203">
        <v>5</v>
      </c>
      <c r="U101" s="202">
        <f t="shared" si="64"/>
        <v>88200</v>
      </c>
      <c r="V101" s="203">
        <v>5</v>
      </c>
      <c r="W101" s="202">
        <f t="shared" si="65"/>
        <v>88200</v>
      </c>
      <c r="X101" s="203">
        <v>5</v>
      </c>
      <c r="Y101" s="202">
        <f t="shared" si="66"/>
        <v>88200</v>
      </c>
      <c r="Z101" s="203">
        <v>5</v>
      </c>
      <c r="AA101" s="202">
        <f t="shared" si="67"/>
        <v>88200</v>
      </c>
      <c r="AB101" s="128">
        <f t="shared" si="55"/>
        <v>1058400</v>
      </c>
    </row>
    <row r="102" spans="1:28" ht="15.6" thickTop="1" thickBot="1" x14ac:dyDescent="0.35">
      <c r="A102" s="820"/>
      <c r="B102" s="201" t="str">
        <f>B29</f>
        <v>MODELO: Creativo</v>
      </c>
      <c r="C102" s="202">
        <f>E37</f>
        <v>20640</v>
      </c>
      <c r="D102" s="203">
        <v>5</v>
      </c>
      <c r="E102" s="202">
        <f t="shared" si="56"/>
        <v>103200</v>
      </c>
      <c r="F102" s="203">
        <v>5</v>
      </c>
      <c r="G102" s="202">
        <f t="shared" si="57"/>
        <v>103200</v>
      </c>
      <c r="H102" s="203">
        <v>5</v>
      </c>
      <c r="I102" s="202">
        <f t="shared" si="58"/>
        <v>103200</v>
      </c>
      <c r="J102" s="203">
        <v>5</v>
      </c>
      <c r="K102" s="202">
        <f t="shared" si="59"/>
        <v>103200</v>
      </c>
      <c r="L102" s="203">
        <v>5</v>
      </c>
      <c r="M102" s="202">
        <f t="shared" si="60"/>
        <v>103200</v>
      </c>
      <c r="N102" s="203">
        <v>5</v>
      </c>
      <c r="O102" s="202">
        <f t="shared" si="61"/>
        <v>103200</v>
      </c>
      <c r="P102" s="203">
        <v>5</v>
      </c>
      <c r="Q102" s="202">
        <f t="shared" si="62"/>
        <v>103200</v>
      </c>
      <c r="R102" s="203">
        <v>5</v>
      </c>
      <c r="S102" s="202">
        <f t="shared" si="63"/>
        <v>103200</v>
      </c>
      <c r="T102" s="203">
        <v>5</v>
      </c>
      <c r="U102" s="202">
        <f t="shared" si="64"/>
        <v>103200</v>
      </c>
      <c r="V102" s="203">
        <v>5</v>
      </c>
      <c r="W102" s="202">
        <f t="shared" si="65"/>
        <v>103200</v>
      </c>
      <c r="X102" s="203">
        <v>5</v>
      </c>
      <c r="Y102" s="202">
        <f t="shared" si="66"/>
        <v>103200</v>
      </c>
      <c r="Z102" s="203">
        <v>5</v>
      </c>
      <c r="AA102" s="202">
        <f t="shared" si="67"/>
        <v>103200</v>
      </c>
      <c r="AB102" s="128">
        <f t="shared" si="55"/>
        <v>1238400</v>
      </c>
    </row>
    <row r="103" spans="1:28" ht="15.6" thickTop="1" thickBot="1" x14ac:dyDescent="0.35">
      <c r="A103" s="820"/>
      <c r="B103" s="201" t="str">
        <f>B40</f>
        <v>MODELO: Exclusivo</v>
      </c>
      <c r="C103" s="202">
        <f>E48</f>
        <v>16740</v>
      </c>
      <c r="D103" s="203">
        <v>5</v>
      </c>
      <c r="E103" s="202">
        <f t="shared" si="56"/>
        <v>83700</v>
      </c>
      <c r="F103" s="203">
        <v>5</v>
      </c>
      <c r="G103" s="202">
        <f t="shared" si="57"/>
        <v>83700</v>
      </c>
      <c r="H103" s="203">
        <v>5</v>
      </c>
      <c r="I103" s="202">
        <f t="shared" si="58"/>
        <v>83700</v>
      </c>
      <c r="J103" s="203">
        <v>5</v>
      </c>
      <c r="K103" s="202">
        <f t="shared" si="59"/>
        <v>83700</v>
      </c>
      <c r="L103" s="203">
        <v>5</v>
      </c>
      <c r="M103" s="202">
        <f t="shared" si="60"/>
        <v>83700</v>
      </c>
      <c r="N103" s="203">
        <v>5</v>
      </c>
      <c r="O103" s="202">
        <f t="shared" si="61"/>
        <v>83700</v>
      </c>
      <c r="P103" s="203">
        <v>5</v>
      </c>
      <c r="Q103" s="202">
        <f t="shared" si="62"/>
        <v>83700</v>
      </c>
      <c r="R103" s="203">
        <v>5</v>
      </c>
      <c r="S103" s="202">
        <f t="shared" si="63"/>
        <v>83700</v>
      </c>
      <c r="T103" s="203">
        <v>5</v>
      </c>
      <c r="U103" s="202">
        <f t="shared" si="64"/>
        <v>83700</v>
      </c>
      <c r="V103" s="203">
        <v>5</v>
      </c>
      <c r="W103" s="202">
        <f t="shared" si="65"/>
        <v>83700</v>
      </c>
      <c r="X103" s="203">
        <v>5</v>
      </c>
      <c r="Y103" s="202">
        <f t="shared" si="66"/>
        <v>83700</v>
      </c>
      <c r="Z103" s="203">
        <v>5</v>
      </c>
      <c r="AA103" s="202">
        <f t="shared" si="67"/>
        <v>83700</v>
      </c>
      <c r="AB103" s="128">
        <f t="shared" si="55"/>
        <v>1004400</v>
      </c>
    </row>
    <row r="104" spans="1:28" ht="15.6" thickTop="1" thickBot="1" x14ac:dyDescent="0.35">
      <c r="A104" s="816" t="s">
        <v>46</v>
      </c>
      <c r="B104" s="103" t="s">
        <v>51</v>
      </c>
      <c r="C104" s="120">
        <v>5000</v>
      </c>
      <c r="D104" s="104">
        <v>2</v>
      </c>
      <c r="E104" s="123">
        <f>D104*C104</f>
        <v>10000</v>
      </c>
      <c r="F104" s="104">
        <v>2</v>
      </c>
      <c r="G104" s="123">
        <f t="shared" ref="G104:G113" si="68">F104*C104</f>
        <v>10000</v>
      </c>
      <c r="H104" s="104">
        <v>2</v>
      </c>
      <c r="I104" s="123">
        <f t="shared" ref="I104:I113" si="69">H104*C104</f>
        <v>10000</v>
      </c>
      <c r="J104" s="104">
        <v>3</v>
      </c>
      <c r="K104" s="123">
        <f t="shared" ref="K104:K113" si="70">J104*C104</f>
        <v>15000</v>
      </c>
      <c r="L104" s="104">
        <v>3</v>
      </c>
      <c r="M104" s="123">
        <f t="shared" ref="M104:M113" si="71">L104*C104</f>
        <v>15000</v>
      </c>
      <c r="N104" s="104">
        <v>3</v>
      </c>
      <c r="O104" s="123">
        <f t="shared" ref="O104:O113" si="72">N104*C104</f>
        <v>15000</v>
      </c>
      <c r="P104" s="104">
        <v>4</v>
      </c>
      <c r="Q104" s="123">
        <f t="shared" ref="Q104:Q113" si="73">P104*C104</f>
        <v>20000</v>
      </c>
      <c r="R104" s="104">
        <v>3</v>
      </c>
      <c r="S104" s="123">
        <f t="shared" ref="S104:S113" si="74">R104*C104</f>
        <v>15000</v>
      </c>
      <c r="T104" s="104">
        <v>2</v>
      </c>
      <c r="U104" s="123">
        <f t="shared" ref="U104:U113" si="75">T104*C104</f>
        <v>10000</v>
      </c>
      <c r="V104" s="104">
        <v>2</v>
      </c>
      <c r="W104" s="123">
        <f t="shared" ref="W104:W113" si="76">V104*C104</f>
        <v>10000</v>
      </c>
      <c r="X104" s="104">
        <v>1</v>
      </c>
      <c r="Y104" s="123">
        <f t="shared" ref="Y104:Y113" si="77">X104*C104</f>
        <v>5000</v>
      </c>
      <c r="Z104" s="104">
        <v>2</v>
      </c>
      <c r="AA104" s="123">
        <f t="shared" ref="AA104:AA113" si="78">Z104*C104</f>
        <v>10000</v>
      </c>
      <c r="AB104" s="127">
        <f t="shared" ref="AB104:AB112" si="79">E104+G104+I104+K104+M104+O104+Q104+S104++U104+W104+Y104+AA104</f>
        <v>145000</v>
      </c>
    </row>
    <row r="105" spans="1:28" ht="15.6" thickTop="1" thickBot="1" x14ac:dyDescent="0.35">
      <c r="A105" s="816"/>
      <c r="B105" s="105" t="s">
        <v>52</v>
      </c>
      <c r="C105" s="121">
        <v>5000</v>
      </c>
      <c r="D105" s="106">
        <v>1</v>
      </c>
      <c r="E105" s="124">
        <f t="shared" ref="E105:E113" si="80">D105*C105</f>
        <v>5000</v>
      </c>
      <c r="F105" s="106">
        <v>1</v>
      </c>
      <c r="G105" s="124">
        <f t="shared" si="68"/>
        <v>5000</v>
      </c>
      <c r="H105" s="106">
        <v>1</v>
      </c>
      <c r="I105" s="124">
        <f t="shared" si="69"/>
        <v>5000</v>
      </c>
      <c r="J105" s="106">
        <v>1</v>
      </c>
      <c r="K105" s="124">
        <f t="shared" si="70"/>
        <v>5000</v>
      </c>
      <c r="L105" s="106">
        <v>1</v>
      </c>
      <c r="M105" s="124">
        <f t="shared" si="71"/>
        <v>5000</v>
      </c>
      <c r="N105" s="106">
        <v>1</v>
      </c>
      <c r="O105" s="124">
        <f t="shared" si="72"/>
        <v>5000</v>
      </c>
      <c r="P105" s="106">
        <v>1</v>
      </c>
      <c r="Q105" s="124">
        <f t="shared" si="73"/>
        <v>5000</v>
      </c>
      <c r="R105" s="106">
        <v>1</v>
      </c>
      <c r="S105" s="124">
        <f t="shared" si="74"/>
        <v>5000</v>
      </c>
      <c r="T105" s="106">
        <v>1</v>
      </c>
      <c r="U105" s="124">
        <f t="shared" si="75"/>
        <v>5000</v>
      </c>
      <c r="V105" s="106">
        <v>1</v>
      </c>
      <c r="W105" s="124">
        <f t="shared" si="76"/>
        <v>5000</v>
      </c>
      <c r="X105" s="106">
        <v>1</v>
      </c>
      <c r="Y105" s="124">
        <f t="shared" si="77"/>
        <v>5000</v>
      </c>
      <c r="Z105" s="106">
        <v>1</v>
      </c>
      <c r="AA105" s="124">
        <f t="shared" si="78"/>
        <v>5000</v>
      </c>
      <c r="AB105" s="128">
        <f t="shared" si="79"/>
        <v>60000</v>
      </c>
    </row>
    <row r="106" spans="1:28" ht="15.6" thickTop="1" thickBot="1" x14ac:dyDescent="0.35">
      <c r="A106" s="816"/>
      <c r="B106" s="107" t="s">
        <v>53</v>
      </c>
      <c r="C106" s="122">
        <v>3000</v>
      </c>
      <c r="D106" s="108">
        <v>2</v>
      </c>
      <c r="E106" s="125">
        <f t="shared" si="80"/>
        <v>6000</v>
      </c>
      <c r="F106" s="108">
        <v>1</v>
      </c>
      <c r="G106" s="125">
        <f t="shared" si="68"/>
        <v>3000</v>
      </c>
      <c r="H106" s="108">
        <v>1</v>
      </c>
      <c r="I106" s="125">
        <f t="shared" si="69"/>
        <v>3000</v>
      </c>
      <c r="J106" s="108">
        <v>1</v>
      </c>
      <c r="K106" s="125">
        <f t="shared" si="70"/>
        <v>3000</v>
      </c>
      <c r="L106" s="108">
        <v>1</v>
      </c>
      <c r="M106" s="125">
        <f t="shared" si="71"/>
        <v>3000</v>
      </c>
      <c r="N106" s="108">
        <v>1</v>
      </c>
      <c r="O106" s="125">
        <f t="shared" si="72"/>
        <v>3000</v>
      </c>
      <c r="P106" s="108">
        <v>1</v>
      </c>
      <c r="Q106" s="125">
        <f t="shared" si="73"/>
        <v>3000</v>
      </c>
      <c r="R106" s="108">
        <v>1</v>
      </c>
      <c r="S106" s="125">
        <f t="shared" si="74"/>
        <v>3000</v>
      </c>
      <c r="T106" s="108">
        <v>1</v>
      </c>
      <c r="U106" s="125">
        <f t="shared" si="75"/>
        <v>3000</v>
      </c>
      <c r="V106" s="108">
        <v>1</v>
      </c>
      <c r="W106" s="125">
        <f t="shared" si="76"/>
        <v>3000</v>
      </c>
      <c r="X106" s="108">
        <v>1</v>
      </c>
      <c r="Y106" s="125">
        <f t="shared" si="77"/>
        <v>3000</v>
      </c>
      <c r="Z106" s="108">
        <v>1</v>
      </c>
      <c r="AA106" s="125">
        <f t="shared" si="78"/>
        <v>3000</v>
      </c>
      <c r="AB106" s="129">
        <f t="shared" si="79"/>
        <v>39000</v>
      </c>
    </row>
    <row r="107" spans="1:28" ht="15.6" thickTop="1" thickBot="1" x14ac:dyDescent="0.35">
      <c r="A107" s="816" t="s">
        <v>47</v>
      </c>
      <c r="B107" s="103" t="s">
        <v>403</v>
      </c>
      <c r="C107" s="120">
        <v>16000</v>
      </c>
      <c r="D107" s="104">
        <v>1</v>
      </c>
      <c r="E107" s="123">
        <f t="shared" si="80"/>
        <v>16000</v>
      </c>
      <c r="F107" s="104">
        <v>1</v>
      </c>
      <c r="G107" s="123">
        <f t="shared" si="68"/>
        <v>16000</v>
      </c>
      <c r="H107" s="104">
        <v>1</v>
      </c>
      <c r="I107" s="123">
        <f t="shared" si="69"/>
        <v>16000</v>
      </c>
      <c r="J107" s="104">
        <v>1</v>
      </c>
      <c r="K107" s="123">
        <f t="shared" si="70"/>
        <v>16000</v>
      </c>
      <c r="L107" s="104">
        <v>1</v>
      </c>
      <c r="M107" s="123">
        <f t="shared" si="71"/>
        <v>16000</v>
      </c>
      <c r="N107" s="104">
        <v>1</v>
      </c>
      <c r="O107" s="123">
        <f t="shared" si="72"/>
        <v>16000</v>
      </c>
      <c r="P107" s="104">
        <v>1</v>
      </c>
      <c r="Q107" s="123">
        <f t="shared" si="73"/>
        <v>16000</v>
      </c>
      <c r="R107" s="104">
        <v>1</v>
      </c>
      <c r="S107" s="123">
        <f t="shared" si="74"/>
        <v>16000</v>
      </c>
      <c r="T107" s="104">
        <v>1</v>
      </c>
      <c r="U107" s="123">
        <f t="shared" si="75"/>
        <v>16000</v>
      </c>
      <c r="V107" s="104">
        <v>1</v>
      </c>
      <c r="W107" s="123">
        <f t="shared" si="76"/>
        <v>16000</v>
      </c>
      <c r="X107" s="104">
        <v>1</v>
      </c>
      <c r="Y107" s="123">
        <f t="shared" si="77"/>
        <v>16000</v>
      </c>
      <c r="Z107" s="104">
        <v>1</v>
      </c>
      <c r="AA107" s="123">
        <f t="shared" si="78"/>
        <v>16000</v>
      </c>
      <c r="AB107" s="127">
        <f t="shared" si="79"/>
        <v>192000</v>
      </c>
    </row>
    <row r="108" spans="1:28" ht="15.6" thickTop="1" thickBot="1" x14ac:dyDescent="0.35">
      <c r="A108" s="817"/>
      <c r="B108" s="105" t="s">
        <v>90</v>
      </c>
      <c r="C108" s="121">
        <v>4500</v>
      </c>
      <c r="D108" s="106">
        <v>1</v>
      </c>
      <c r="E108" s="124">
        <f t="shared" si="80"/>
        <v>4500</v>
      </c>
      <c r="F108" s="106">
        <v>1</v>
      </c>
      <c r="G108" s="124">
        <f t="shared" si="68"/>
        <v>4500</v>
      </c>
      <c r="H108" s="106">
        <v>1</v>
      </c>
      <c r="I108" s="124">
        <f t="shared" si="69"/>
        <v>4500</v>
      </c>
      <c r="J108" s="106">
        <v>1</v>
      </c>
      <c r="K108" s="124">
        <f t="shared" si="70"/>
        <v>4500</v>
      </c>
      <c r="L108" s="106">
        <v>1</v>
      </c>
      <c r="M108" s="124">
        <f t="shared" si="71"/>
        <v>4500</v>
      </c>
      <c r="N108" s="106">
        <v>2</v>
      </c>
      <c r="O108" s="124">
        <f t="shared" si="72"/>
        <v>9000</v>
      </c>
      <c r="P108" s="106">
        <v>1</v>
      </c>
      <c r="Q108" s="124">
        <f t="shared" si="73"/>
        <v>4500</v>
      </c>
      <c r="R108" s="106">
        <v>1</v>
      </c>
      <c r="S108" s="124">
        <f t="shared" si="74"/>
        <v>4500</v>
      </c>
      <c r="T108" s="106">
        <v>1</v>
      </c>
      <c r="U108" s="124">
        <f t="shared" si="75"/>
        <v>4500</v>
      </c>
      <c r="V108" s="106">
        <v>1</v>
      </c>
      <c r="W108" s="124">
        <f t="shared" si="76"/>
        <v>4500</v>
      </c>
      <c r="X108" s="106">
        <v>1</v>
      </c>
      <c r="Y108" s="124">
        <f t="shared" si="77"/>
        <v>4500</v>
      </c>
      <c r="Z108" s="106">
        <v>1</v>
      </c>
      <c r="AA108" s="124">
        <f t="shared" si="78"/>
        <v>4500</v>
      </c>
      <c r="AB108" s="128">
        <f t="shared" si="79"/>
        <v>58500</v>
      </c>
    </row>
    <row r="109" spans="1:28" ht="15.6" thickTop="1" thickBot="1" x14ac:dyDescent="0.35">
      <c r="A109" s="817"/>
      <c r="B109" s="107" t="s">
        <v>91</v>
      </c>
      <c r="C109" s="122">
        <v>4500</v>
      </c>
      <c r="D109" s="108">
        <v>1</v>
      </c>
      <c r="E109" s="125">
        <f t="shared" si="80"/>
        <v>4500</v>
      </c>
      <c r="F109" s="108">
        <v>1</v>
      </c>
      <c r="G109" s="125">
        <f t="shared" si="68"/>
        <v>4500</v>
      </c>
      <c r="H109" s="108">
        <v>1</v>
      </c>
      <c r="I109" s="125">
        <f t="shared" si="69"/>
        <v>4500</v>
      </c>
      <c r="J109" s="108">
        <v>1</v>
      </c>
      <c r="K109" s="125">
        <f t="shared" si="70"/>
        <v>4500</v>
      </c>
      <c r="L109" s="108">
        <v>1</v>
      </c>
      <c r="M109" s="125">
        <f t="shared" si="71"/>
        <v>4500</v>
      </c>
      <c r="N109" s="108">
        <v>2</v>
      </c>
      <c r="O109" s="125">
        <f t="shared" si="72"/>
        <v>9000</v>
      </c>
      <c r="P109" s="108">
        <v>1</v>
      </c>
      <c r="Q109" s="125">
        <f t="shared" si="73"/>
        <v>4500</v>
      </c>
      <c r="R109" s="108">
        <v>1</v>
      </c>
      <c r="S109" s="125">
        <f t="shared" si="74"/>
        <v>4500</v>
      </c>
      <c r="T109" s="108">
        <v>1</v>
      </c>
      <c r="U109" s="125">
        <f t="shared" si="75"/>
        <v>4500</v>
      </c>
      <c r="V109" s="108">
        <v>1</v>
      </c>
      <c r="W109" s="125">
        <f t="shared" si="76"/>
        <v>4500</v>
      </c>
      <c r="X109" s="108">
        <v>1</v>
      </c>
      <c r="Y109" s="125">
        <f t="shared" si="77"/>
        <v>4500</v>
      </c>
      <c r="Z109" s="108">
        <v>1</v>
      </c>
      <c r="AA109" s="125">
        <f t="shared" si="78"/>
        <v>4500</v>
      </c>
      <c r="AB109" s="129">
        <f t="shared" si="79"/>
        <v>58500</v>
      </c>
    </row>
    <row r="110" spans="1:28" ht="15" thickTop="1" x14ac:dyDescent="0.3">
      <c r="A110" s="814" t="s">
        <v>48</v>
      </c>
      <c r="B110" s="103" t="s">
        <v>401</v>
      </c>
      <c r="C110" s="120">
        <v>600000</v>
      </c>
      <c r="D110" s="104">
        <v>1</v>
      </c>
      <c r="E110" s="123">
        <f t="shared" si="80"/>
        <v>600000</v>
      </c>
      <c r="F110" s="104">
        <v>1</v>
      </c>
      <c r="G110" s="123">
        <f t="shared" si="68"/>
        <v>600000</v>
      </c>
      <c r="H110" s="104">
        <v>1</v>
      </c>
      <c r="I110" s="123">
        <f t="shared" si="69"/>
        <v>600000</v>
      </c>
      <c r="J110" s="104">
        <v>1</v>
      </c>
      <c r="K110" s="123">
        <f t="shared" si="70"/>
        <v>600000</v>
      </c>
      <c r="L110" s="104">
        <v>1</v>
      </c>
      <c r="M110" s="123">
        <f t="shared" si="71"/>
        <v>600000</v>
      </c>
      <c r="N110" s="104">
        <v>1</v>
      </c>
      <c r="O110" s="123">
        <f t="shared" si="72"/>
        <v>600000</v>
      </c>
      <c r="P110" s="104">
        <v>1</v>
      </c>
      <c r="Q110" s="123">
        <f t="shared" si="73"/>
        <v>600000</v>
      </c>
      <c r="R110" s="104">
        <v>1</v>
      </c>
      <c r="S110" s="123">
        <f t="shared" si="74"/>
        <v>600000</v>
      </c>
      <c r="T110" s="104">
        <v>1</v>
      </c>
      <c r="U110" s="123">
        <f t="shared" si="75"/>
        <v>600000</v>
      </c>
      <c r="V110" s="104">
        <v>1</v>
      </c>
      <c r="W110" s="123">
        <f t="shared" si="76"/>
        <v>600000</v>
      </c>
      <c r="X110" s="104">
        <v>1</v>
      </c>
      <c r="Y110" s="123">
        <f t="shared" si="77"/>
        <v>600000</v>
      </c>
      <c r="Z110" s="104">
        <v>1</v>
      </c>
      <c r="AA110" s="123">
        <f t="shared" si="78"/>
        <v>600000</v>
      </c>
      <c r="AB110" s="127">
        <f t="shared" si="79"/>
        <v>7200000</v>
      </c>
    </row>
    <row r="111" spans="1:28" ht="15" thickBot="1" x14ac:dyDescent="0.35">
      <c r="A111" s="815"/>
      <c r="B111" s="107" t="s">
        <v>95</v>
      </c>
      <c r="C111" s="122">
        <v>90000</v>
      </c>
      <c r="D111" s="108">
        <v>1</v>
      </c>
      <c r="E111" s="125">
        <f t="shared" si="80"/>
        <v>90000</v>
      </c>
      <c r="F111" s="108">
        <v>1</v>
      </c>
      <c r="G111" s="125">
        <f t="shared" si="68"/>
        <v>90000</v>
      </c>
      <c r="H111" s="108">
        <v>1</v>
      </c>
      <c r="I111" s="125">
        <f t="shared" si="69"/>
        <v>90000</v>
      </c>
      <c r="J111" s="108">
        <v>1</v>
      </c>
      <c r="K111" s="125">
        <f t="shared" si="70"/>
        <v>90000</v>
      </c>
      <c r="L111" s="108">
        <v>1</v>
      </c>
      <c r="M111" s="125">
        <f t="shared" si="71"/>
        <v>90000</v>
      </c>
      <c r="N111" s="108">
        <v>1</v>
      </c>
      <c r="O111" s="125">
        <f t="shared" si="72"/>
        <v>90000</v>
      </c>
      <c r="P111" s="108">
        <v>2</v>
      </c>
      <c r="Q111" s="125">
        <f t="shared" si="73"/>
        <v>180000</v>
      </c>
      <c r="R111" s="108">
        <v>1</v>
      </c>
      <c r="S111" s="125">
        <f t="shared" si="74"/>
        <v>90000</v>
      </c>
      <c r="T111" s="108">
        <v>1</v>
      </c>
      <c r="U111" s="125">
        <f t="shared" si="75"/>
        <v>90000</v>
      </c>
      <c r="V111" s="108">
        <v>1</v>
      </c>
      <c r="W111" s="125">
        <f t="shared" si="76"/>
        <v>90000</v>
      </c>
      <c r="X111" s="108">
        <v>1</v>
      </c>
      <c r="Y111" s="125">
        <f t="shared" si="77"/>
        <v>90000</v>
      </c>
      <c r="Z111" s="108">
        <v>3</v>
      </c>
      <c r="AA111" s="125">
        <f t="shared" si="78"/>
        <v>270000</v>
      </c>
      <c r="AB111" s="129">
        <f t="shared" si="79"/>
        <v>1350000</v>
      </c>
    </row>
    <row r="112" spans="1:28" ht="15.6" thickTop="1" thickBot="1" x14ac:dyDescent="0.35">
      <c r="A112" s="117" t="s">
        <v>49</v>
      </c>
      <c r="B112" s="130" t="s">
        <v>93</v>
      </c>
      <c r="C112" s="131">
        <v>60000</v>
      </c>
      <c r="D112" s="132">
        <v>1</v>
      </c>
      <c r="E112" s="118">
        <f t="shared" si="80"/>
        <v>60000</v>
      </c>
      <c r="F112" s="132">
        <v>1</v>
      </c>
      <c r="G112" s="118">
        <f t="shared" si="68"/>
        <v>60000</v>
      </c>
      <c r="H112" s="132">
        <v>1</v>
      </c>
      <c r="I112" s="118">
        <f t="shared" si="69"/>
        <v>60000</v>
      </c>
      <c r="J112" s="132">
        <v>1</v>
      </c>
      <c r="K112" s="118">
        <f t="shared" si="70"/>
        <v>60000</v>
      </c>
      <c r="L112" s="132">
        <v>2</v>
      </c>
      <c r="M112" s="118">
        <f t="shared" si="71"/>
        <v>120000</v>
      </c>
      <c r="N112" s="132">
        <v>2</v>
      </c>
      <c r="O112" s="118">
        <f t="shared" si="72"/>
        <v>120000</v>
      </c>
      <c r="P112" s="132">
        <v>4</v>
      </c>
      <c r="Q112" s="118">
        <f t="shared" si="73"/>
        <v>240000</v>
      </c>
      <c r="R112" s="132">
        <v>1</v>
      </c>
      <c r="S112" s="118">
        <f t="shared" si="74"/>
        <v>60000</v>
      </c>
      <c r="T112" s="132">
        <v>1</v>
      </c>
      <c r="U112" s="118">
        <f t="shared" si="75"/>
        <v>60000</v>
      </c>
      <c r="V112" s="132">
        <v>2</v>
      </c>
      <c r="W112" s="118">
        <f t="shared" si="76"/>
        <v>120000</v>
      </c>
      <c r="X112" s="132">
        <v>2</v>
      </c>
      <c r="Y112" s="118">
        <f t="shared" si="77"/>
        <v>120000</v>
      </c>
      <c r="Z112" s="132">
        <v>4</v>
      </c>
      <c r="AA112" s="118">
        <f t="shared" si="78"/>
        <v>240000</v>
      </c>
      <c r="AB112" s="133">
        <f t="shared" si="79"/>
        <v>1320000</v>
      </c>
    </row>
    <row r="113" spans="1:28" ht="15.6" thickTop="1" thickBot="1" x14ac:dyDescent="0.35">
      <c r="A113" s="117" t="s">
        <v>50</v>
      </c>
      <c r="B113" s="130" t="s">
        <v>92</v>
      </c>
      <c r="C113" s="131">
        <v>30000</v>
      </c>
      <c r="D113" s="132">
        <v>24</v>
      </c>
      <c r="E113" s="118">
        <f t="shared" si="80"/>
        <v>720000</v>
      </c>
      <c r="F113" s="132">
        <v>24</v>
      </c>
      <c r="G113" s="118">
        <f t="shared" si="68"/>
        <v>720000</v>
      </c>
      <c r="H113" s="132">
        <v>24</v>
      </c>
      <c r="I113" s="118">
        <f t="shared" si="69"/>
        <v>720000</v>
      </c>
      <c r="J113" s="132">
        <v>24</v>
      </c>
      <c r="K113" s="118">
        <f t="shared" si="70"/>
        <v>720000</v>
      </c>
      <c r="L113" s="132">
        <v>24</v>
      </c>
      <c r="M113" s="118">
        <f t="shared" si="71"/>
        <v>720000</v>
      </c>
      <c r="N113" s="132">
        <v>24</v>
      </c>
      <c r="O113" s="118">
        <f t="shared" si="72"/>
        <v>720000</v>
      </c>
      <c r="P113" s="132">
        <v>24</v>
      </c>
      <c r="Q113" s="118">
        <f t="shared" si="73"/>
        <v>720000</v>
      </c>
      <c r="R113" s="132">
        <v>24</v>
      </c>
      <c r="S113" s="118">
        <f t="shared" si="74"/>
        <v>720000</v>
      </c>
      <c r="T113" s="132">
        <v>24</v>
      </c>
      <c r="U113" s="118">
        <f t="shared" si="75"/>
        <v>720000</v>
      </c>
      <c r="V113" s="132">
        <v>24</v>
      </c>
      <c r="W113" s="118">
        <f t="shared" si="76"/>
        <v>720000</v>
      </c>
      <c r="X113" s="132">
        <v>30</v>
      </c>
      <c r="Y113" s="118">
        <f t="shared" si="77"/>
        <v>900000</v>
      </c>
      <c r="Z113" s="132">
        <v>30</v>
      </c>
      <c r="AA113" s="118">
        <f t="shared" si="78"/>
        <v>900000</v>
      </c>
      <c r="AB113" s="133">
        <f>E113+G113+I113+K113+M113+O113+Q113+S113+U113+W113+Y113+AA113</f>
        <v>9000000</v>
      </c>
    </row>
    <row r="114" spans="1:28" ht="15.6" thickTop="1" thickBot="1" x14ac:dyDescent="0.35">
      <c r="A114" s="100"/>
      <c r="B114" s="134" t="s">
        <v>44</v>
      </c>
      <c r="C114" s="135"/>
      <c r="D114" s="135"/>
      <c r="E114" s="137">
        <f>SUM(E99:E113)</f>
        <v>2181580</v>
      </c>
      <c r="F114" s="136"/>
      <c r="G114" s="137">
        <f>SUM(G99:G113)</f>
        <v>2178580</v>
      </c>
      <c r="H114" s="136"/>
      <c r="I114" s="137">
        <f>SUM(I99:I113)</f>
        <v>2178580</v>
      </c>
      <c r="J114" s="136"/>
      <c r="K114" s="137">
        <f>SUM(K99:K113)</f>
        <v>2183580</v>
      </c>
      <c r="L114" s="136"/>
      <c r="M114" s="137">
        <f>SUM(M99:M113)</f>
        <v>2243580</v>
      </c>
      <c r="N114" s="135"/>
      <c r="O114" s="137">
        <f>SUM(O99:O113)</f>
        <v>2252580</v>
      </c>
      <c r="P114" s="136"/>
      <c r="Q114" s="137">
        <f>SUM(Q99:Q113)</f>
        <v>2458580</v>
      </c>
      <c r="R114" s="136"/>
      <c r="S114" s="137">
        <f>SUM(S99:S113)</f>
        <v>2183580</v>
      </c>
      <c r="T114" s="136"/>
      <c r="U114" s="137">
        <f>SUM(U99:U113)</f>
        <v>2178580</v>
      </c>
      <c r="V114" s="136"/>
      <c r="W114" s="137">
        <f>SUM(W99:W113)</f>
        <v>2238580</v>
      </c>
      <c r="X114" s="136"/>
      <c r="Y114" s="137">
        <f>SUM(Y99:Y113)</f>
        <v>2417450</v>
      </c>
      <c r="Z114" s="136"/>
      <c r="AA114" s="137">
        <f>SUM(AA99:AA113)</f>
        <v>2722450</v>
      </c>
      <c r="AB114" s="137">
        <f>SUM(AB99:AB113)</f>
        <v>27417700</v>
      </c>
    </row>
    <row r="115" spans="1:28" ht="15" thickTop="1" x14ac:dyDescent="0.3"/>
  </sheetData>
  <mergeCells count="67">
    <mergeCell ref="A100:A103"/>
    <mergeCell ref="A104:A106"/>
    <mergeCell ref="A107:A109"/>
    <mergeCell ref="A78:A81"/>
    <mergeCell ref="A82:A84"/>
    <mergeCell ref="A85:A87"/>
    <mergeCell ref="A88:A89"/>
    <mergeCell ref="X75:Y75"/>
    <mergeCell ref="Z75:AA75"/>
    <mergeCell ref="AB75:AB76"/>
    <mergeCell ref="B96:AB96"/>
    <mergeCell ref="B97:C97"/>
    <mergeCell ref="D97:E97"/>
    <mergeCell ref="H97:I97"/>
    <mergeCell ref="L97:M97"/>
    <mergeCell ref="N97:O97"/>
    <mergeCell ref="P97:Q97"/>
    <mergeCell ref="R97:S97"/>
    <mergeCell ref="T97:U97"/>
    <mergeCell ref="V97:W97"/>
    <mergeCell ref="X97:Y97"/>
    <mergeCell ref="Z97:AA97"/>
    <mergeCell ref="AB97:AB98"/>
    <mergeCell ref="E1:K1"/>
    <mergeCell ref="E3:H3"/>
    <mergeCell ref="G4:H4"/>
    <mergeCell ref="G5:H5"/>
    <mergeCell ref="G6:H6"/>
    <mergeCell ref="G7:H7"/>
    <mergeCell ref="J3:L3"/>
    <mergeCell ref="B53:C53"/>
    <mergeCell ref="D53:E53"/>
    <mergeCell ref="H53:I53"/>
    <mergeCell ref="G28:J30"/>
    <mergeCell ref="B17:E17"/>
    <mergeCell ref="B18:E18"/>
    <mergeCell ref="B28:E28"/>
    <mergeCell ref="B29:E29"/>
    <mergeCell ref="B9:E9"/>
    <mergeCell ref="B10:E10"/>
    <mergeCell ref="B39:E39"/>
    <mergeCell ref="B40:E40"/>
    <mergeCell ref="L53:M53"/>
    <mergeCell ref="N53:O53"/>
    <mergeCell ref="B52:AB52"/>
    <mergeCell ref="A56:A59"/>
    <mergeCell ref="X53:Y53"/>
    <mergeCell ref="Z53:AA53"/>
    <mergeCell ref="AB53:AB54"/>
    <mergeCell ref="P53:Q53"/>
    <mergeCell ref="R53:S53"/>
    <mergeCell ref="T53:U53"/>
    <mergeCell ref="V53:W53"/>
    <mergeCell ref="A66:A67"/>
    <mergeCell ref="A110:A111"/>
    <mergeCell ref="A60:A62"/>
    <mergeCell ref="A63:A65"/>
    <mergeCell ref="B74:AB74"/>
    <mergeCell ref="B75:C75"/>
    <mergeCell ref="D75:E75"/>
    <mergeCell ref="H75:I75"/>
    <mergeCell ref="L75:M75"/>
    <mergeCell ref="N75:O75"/>
    <mergeCell ref="P75:Q75"/>
    <mergeCell ref="R75:S75"/>
    <mergeCell ref="T75:U75"/>
    <mergeCell ref="V75:W75"/>
  </mergeCells>
  <pageMargins left="0.7" right="0.7" top="0.75" bottom="0.75" header="0.3" footer="0.3"/>
  <pageSetup orientation="portrait" r:id="rId1"/>
  <drawing r:id="rId2"/>
  <legacyDrawing r:id="rId3"/>
  <controls>
    <mc:AlternateContent xmlns:mc="http://schemas.openxmlformats.org/markup-compatibility/2006">
      <mc:Choice Requires="x14">
        <control shapeId="5121" r:id="rId4" name="btnIndice">
          <controlPr defaultSize="0" autoLine="0" r:id="rId5">
            <anchor moveWithCells="1">
              <from>
                <xdr:col>0</xdr:col>
                <xdr:colOff>457200</xdr:colOff>
                <xdr:row>0</xdr:row>
                <xdr:rowOff>106680</xdr:rowOff>
              </from>
              <to>
                <xdr:col>1</xdr:col>
                <xdr:colOff>640080</xdr:colOff>
                <xdr:row>0</xdr:row>
                <xdr:rowOff>403860</xdr:rowOff>
              </to>
            </anchor>
          </controlPr>
        </control>
      </mc:Choice>
      <mc:Fallback>
        <control shapeId="5121" r:id="rId4" name="btnIndice"/>
      </mc:Fallback>
    </mc:AlternateContent>
    <mc:AlternateContent xmlns:mc="http://schemas.openxmlformats.org/markup-compatibility/2006">
      <mc:Choice Requires="x14">
        <control shapeId="5122" r:id="rId6" name="btnAnterior">
          <controlPr defaultSize="0" autoLine="0" r:id="rId7">
            <anchor moveWithCells="1">
              <from>
                <xdr:col>11</xdr:col>
                <xdr:colOff>236220</xdr:colOff>
                <xdr:row>0</xdr:row>
                <xdr:rowOff>106680</xdr:rowOff>
              </from>
              <to>
                <xdr:col>12</xdr:col>
                <xdr:colOff>388620</xdr:colOff>
                <xdr:row>0</xdr:row>
                <xdr:rowOff>403860</xdr:rowOff>
              </to>
            </anchor>
          </controlPr>
        </control>
      </mc:Choice>
      <mc:Fallback>
        <control shapeId="5122" r:id="rId6" name="btnAnterior"/>
      </mc:Fallback>
    </mc:AlternateContent>
    <mc:AlternateContent xmlns:mc="http://schemas.openxmlformats.org/markup-compatibility/2006">
      <mc:Choice Requires="x14">
        <control shapeId="5123" r:id="rId8" name="btnSiguiente">
          <controlPr defaultSize="0" autoLine="0" r:id="rId9">
            <anchor moveWithCells="1">
              <from>
                <xdr:col>12</xdr:col>
                <xdr:colOff>487680</xdr:colOff>
                <xdr:row>0</xdr:row>
                <xdr:rowOff>99060</xdr:rowOff>
              </from>
              <to>
                <xdr:col>14</xdr:col>
                <xdr:colOff>220980</xdr:colOff>
                <xdr:row>0</xdr:row>
                <xdr:rowOff>396240</xdr:rowOff>
              </to>
            </anchor>
          </controlPr>
        </control>
      </mc:Choice>
      <mc:Fallback>
        <control shapeId="5123" r:id="rId8" name="btnSiguiente"/>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AB112"/>
  <sheetViews>
    <sheetView showGridLines="0" zoomScale="79" zoomScaleNormal="79" workbookViewId="0">
      <pane xSplit="3" ySplit="1" topLeftCell="D35" activePane="bottomRight" state="frozen"/>
      <selection pane="topRight" activeCell="D1" sqref="D1"/>
      <selection pane="bottomLeft" activeCell="A2" sqref="A2"/>
      <selection pane="bottomRight" activeCell="D59" sqref="D59"/>
    </sheetView>
  </sheetViews>
  <sheetFormatPr baseColWidth="10" defaultRowHeight="14.4" x14ac:dyDescent="0.3"/>
  <cols>
    <col min="3" max="3" width="45.33203125" customWidth="1"/>
    <col min="4" max="4" width="14.5546875" customWidth="1"/>
    <col min="5" max="5" width="19.5546875" customWidth="1"/>
    <col min="6" max="6" width="18.88671875" customWidth="1"/>
    <col min="7" max="7" width="18.44140625" customWidth="1"/>
    <col min="8" max="8" width="14" customWidth="1"/>
    <col min="9" max="9" width="14.44140625" customWidth="1"/>
    <col min="11" max="11" width="14.5546875" customWidth="1"/>
    <col min="12" max="12" width="17.88671875" customWidth="1"/>
    <col min="13" max="13" width="14.109375" customWidth="1"/>
    <col min="15" max="15" width="16" customWidth="1"/>
    <col min="17" max="17" width="14.6640625" customWidth="1"/>
    <col min="19" max="19" width="13.88671875" customWidth="1"/>
    <col min="21" max="21" width="14" customWidth="1"/>
    <col min="23" max="23" width="13.5546875" customWidth="1"/>
    <col min="25" max="25" width="14.33203125" customWidth="1"/>
    <col min="27" max="27" width="13.88671875" customWidth="1"/>
    <col min="28" max="28" width="15" customWidth="1"/>
  </cols>
  <sheetData>
    <row r="1" spans="2:12" s="1030" customFormat="1" ht="40.5" customHeight="1" thickBot="1" x14ac:dyDescent="0.35">
      <c r="E1" s="1031" t="s">
        <v>223</v>
      </c>
      <c r="F1" s="1031"/>
      <c r="G1" s="1031"/>
      <c r="H1" s="1031"/>
      <c r="I1" s="1031"/>
      <c r="J1" s="1031"/>
      <c r="K1" s="1031"/>
    </row>
    <row r="2" spans="2:12" ht="15.6" thickTop="1" thickBot="1" x14ac:dyDescent="0.35"/>
    <row r="3" spans="2:12" ht="16.2" thickTop="1" x14ac:dyDescent="0.3">
      <c r="E3" s="1032" t="s">
        <v>245</v>
      </c>
      <c r="F3" s="1033"/>
      <c r="G3" s="1034"/>
      <c r="I3" s="1035" t="s">
        <v>15</v>
      </c>
      <c r="J3" s="1036"/>
      <c r="K3" s="1036"/>
      <c r="L3" s="1037"/>
    </row>
    <row r="4" spans="2:12" ht="15.6" x14ac:dyDescent="0.3">
      <c r="E4" s="1038">
        <v>2022</v>
      </c>
      <c r="F4" s="1039">
        <v>2023</v>
      </c>
      <c r="G4" s="1040">
        <v>2024</v>
      </c>
      <c r="I4" s="17" t="s">
        <v>7</v>
      </c>
      <c r="J4" s="16" t="s">
        <v>8</v>
      </c>
      <c r="K4" s="751" t="s">
        <v>9</v>
      </c>
      <c r="L4" s="752"/>
    </row>
    <row r="5" spans="2:12" ht="16.2" thickBot="1" x14ac:dyDescent="0.35">
      <c r="E5" s="206">
        <f>AB60</f>
        <v>31080950.586450003</v>
      </c>
      <c r="F5" s="207">
        <f>AB86</f>
        <v>39922402.094400004</v>
      </c>
      <c r="G5" s="208">
        <f>AB112</f>
        <v>65028176.810399979</v>
      </c>
      <c r="I5" s="18">
        <f>Hipótesis!B23</f>
        <v>2022</v>
      </c>
      <c r="J5" s="14">
        <f>Hipótesis!C23</f>
        <v>0.03</v>
      </c>
      <c r="K5" s="753">
        <f>Hipótesis!D23</f>
        <v>72000000</v>
      </c>
      <c r="L5" s="754"/>
    </row>
    <row r="6" spans="2:12" ht="15.6" x14ac:dyDescent="0.3">
      <c r="E6" s="263"/>
      <c r="F6" s="263"/>
      <c r="G6" s="263"/>
      <c r="I6" s="18">
        <f>Hipótesis!B24</f>
        <v>2023</v>
      </c>
      <c r="J6" s="14">
        <f>Hipótesis!C24</f>
        <v>0.06</v>
      </c>
      <c r="K6" s="753">
        <f>Hipótesis!D24</f>
        <v>144000000</v>
      </c>
      <c r="L6" s="754"/>
    </row>
    <row r="7" spans="2:12" ht="16.2" thickBot="1" x14ac:dyDescent="0.35">
      <c r="E7" s="263"/>
      <c r="F7" s="263"/>
      <c r="G7" s="263"/>
      <c r="I7" s="19">
        <f>Hipótesis!B25</f>
        <v>2024</v>
      </c>
      <c r="J7" s="20">
        <f>Hipótesis!C25</f>
        <v>0.1</v>
      </c>
      <c r="K7" s="755">
        <f>Hipótesis!D25</f>
        <v>240000000</v>
      </c>
      <c r="L7" s="756"/>
    </row>
    <row r="8" spans="2:12" ht="16.2" thickTop="1" x14ac:dyDescent="0.3">
      <c r="E8" s="263"/>
      <c r="F8" s="263"/>
      <c r="G8" s="263"/>
    </row>
    <row r="9" spans="2:12" ht="15" thickBot="1" x14ac:dyDescent="0.35"/>
    <row r="10" spans="2:12" ht="17.25" customHeight="1" thickBot="1" x14ac:dyDescent="0.35">
      <c r="C10" s="855" t="s">
        <v>224</v>
      </c>
      <c r="D10" s="856"/>
      <c r="E10" s="856"/>
      <c r="F10" s="856"/>
      <c r="G10" s="856"/>
      <c r="H10" s="856"/>
      <c r="I10" s="856"/>
      <c r="J10" s="856"/>
      <c r="K10" s="856"/>
      <c r="L10" s="857"/>
    </row>
    <row r="11" spans="2:12" ht="15.6" x14ac:dyDescent="0.3">
      <c r="C11" s="858" t="s">
        <v>225</v>
      </c>
      <c r="D11" s="860" t="s">
        <v>315</v>
      </c>
      <c r="E11" s="230">
        <v>0.16</v>
      </c>
      <c r="F11" s="230">
        <v>0.02</v>
      </c>
      <c r="G11" s="230">
        <v>0.06</v>
      </c>
      <c r="H11" s="230">
        <v>0.04</v>
      </c>
      <c r="I11" s="230">
        <v>1.4999999999999999E-2</v>
      </c>
      <c r="J11" s="220">
        <v>2.9999999999999997E-4</v>
      </c>
      <c r="K11" s="220">
        <v>0.01</v>
      </c>
      <c r="L11" s="862" t="s">
        <v>44</v>
      </c>
    </row>
    <row r="12" spans="2:12" ht="47.4" thickBot="1" x14ac:dyDescent="0.35">
      <c r="C12" s="859"/>
      <c r="D12" s="861"/>
      <c r="E12" s="221" t="s">
        <v>226</v>
      </c>
      <c r="F12" s="221" t="s">
        <v>227</v>
      </c>
      <c r="G12" s="222" t="s">
        <v>228</v>
      </c>
      <c r="H12" s="221" t="s">
        <v>243</v>
      </c>
      <c r="I12" s="221" t="s">
        <v>229</v>
      </c>
      <c r="J12" s="221" t="s">
        <v>230</v>
      </c>
      <c r="K12" s="222" t="s">
        <v>231</v>
      </c>
      <c r="L12" s="863"/>
    </row>
    <row r="13" spans="2:12" ht="15.6" x14ac:dyDescent="0.3">
      <c r="B13" t="s">
        <v>238</v>
      </c>
      <c r="C13" s="143" t="s">
        <v>105</v>
      </c>
      <c r="D13" s="210">
        <v>234746</v>
      </c>
      <c r="E13" s="209">
        <f>D13*E11</f>
        <v>37559.360000000001</v>
      </c>
      <c r="F13" s="209">
        <f>D13*F11</f>
        <v>4694.92</v>
      </c>
      <c r="G13" s="209">
        <f>D13*G11</f>
        <v>14084.76</v>
      </c>
      <c r="H13" s="209">
        <f>D13*H11</f>
        <v>9389.84</v>
      </c>
      <c r="I13" s="209">
        <f>D13*I11</f>
        <v>3521.19</v>
      </c>
      <c r="J13" s="209">
        <f>D13*J11</f>
        <v>70.4238</v>
      </c>
      <c r="K13" s="209">
        <f>D13*K11</f>
        <v>2347.46</v>
      </c>
      <c r="L13" s="224">
        <f>SUM(D13:K13)</f>
        <v>306413.95380000002</v>
      </c>
    </row>
    <row r="14" spans="2:12" ht="15.6" x14ac:dyDescent="0.3">
      <c r="C14" s="139" t="s">
        <v>106</v>
      </c>
      <c r="D14" s="210">
        <v>185915</v>
      </c>
      <c r="E14" s="209">
        <f>D14*E11</f>
        <v>29746.400000000001</v>
      </c>
      <c r="F14" s="209">
        <f>D14*F11</f>
        <v>3718.3</v>
      </c>
      <c r="G14" s="209">
        <f>D14*G11</f>
        <v>11154.9</v>
      </c>
      <c r="H14" s="209">
        <f>D14*H11</f>
        <v>7436.6</v>
      </c>
      <c r="I14" s="209">
        <f>D14*I11</f>
        <v>2788.7249999999999</v>
      </c>
      <c r="J14" s="209">
        <f>D14*J11</f>
        <v>55.774499999999996</v>
      </c>
      <c r="K14" s="209">
        <f>D14*K11</f>
        <v>1859.15</v>
      </c>
      <c r="L14" s="225">
        <f t="shared" ref="L14:L33" si="0">SUM(D14:K14)</f>
        <v>242674.84949999998</v>
      </c>
    </row>
    <row r="15" spans="2:12" ht="15.6" x14ac:dyDescent="0.3">
      <c r="C15" s="139" t="s">
        <v>107</v>
      </c>
      <c r="D15" s="211">
        <v>185915</v>
      </c>
      <c r="E15" s="209">
        <f>D15*E11</f>
        <v>29746.400000000001</v>
      </c>
      <c r="F15" s="209">
        <f>D15*F11</f>
        <v>3718.3</v>
      </c>
      <c r="G15" s="209">
        <f>D15*G11</f>
        <v>11154.9</v>
      </c>
      <c r="H15" s="209">
        <f>D15*H11</f>
        <v>7436.6</v>
      </c>
      <c r="I15" s="209">
        <f>D15*I11</f>
        <v>2788.7249999999999</v>
      </c>
      <c r="J15" s="209">
        <f>D15*J11</f>
        <v>55.774499999999996</v>
      </c>
      <c r="K15" s="209">
        <f>D15*K11</f>
        <v>1859.15</v>
      </c>
      <c r="L15" s="225">
        <f t="shared" si="0"/>
        <v>242674.84949999998</v>
      </c>
    </row>
    <row r="16" spans="2:12" ht="15.6" x14ac:dyDescent="0.3">
      <c r="C16" s="139" t="s">
        <v>108</v>
      </c>
      <c r="D16" s="211">
        <v>103165</v>
      </c>
      <c r="E16" s="209">
        <f>D16*E11</f>
        <v>16506.400000000001</v>
      </c>
      <c r="F16" s="209">
        <f>D16*F11</f>
        <v>2063.3000000000002</v>
      </c>
      <c r="G16" s="209">
        <f>D16*G11</f>
        <v>6189.9</v>
      </c>
      <c r="H16" s="209">
        <f>D16*H11</f>
        <v>4126.6000000000004</v>
      </c>
      <c r="I16" s="209">
        <f>D16*I11</f>
        <v>1547.4749999999999</v>
      </c>
      <c r="J16" s="209">
        <f>D16*J11</f>
        <v>30.949499999999997</v>
      </c>
      <c r="K16" s="209">
        <f>D16*K11</f>
        <v>1031.6500000000001</v>
      </c>
      <c r="L16" s="225">
        <f t="shared" si="0"/>
        <v>134661.27449999997</v>
      </c>
    </row>
    <row r="17" spans="2:12" ht="15.6" x14ac:dyDescent="0.3">
      <c r="C17" s="139" t="s">
        <v>114</v>
      </c>
      <c r="D17" s="210">
        <v>103165</v>
      </c>
      <c r="E17" s="209">
        <f>D17*E11</f>
        <v>16506.400000000001</v>
      </c>
      <c r="F17" s="209">
        <f>D17*F11</f>
        <v>2063.3000000000002</v>
      </c>
      <c r="G17" s="209">
        <f>D17*G11</f>
        <v>6189.9</v>
      </c>
      <c r="H17" s="209">
        <f>D17*H11</f>
        <v>4126.6000000000004</v>
      </c>
      <c r="I17" s="209">
        <f>D17*I11</f>
        <v>1547.4749999999999</v>
      </c>
      <c r="J17" s="209">
        <f>D17*J11</f>
        <v>30.949499999999997</v>
      </c>
      <c r="K17" s="209">
        <f>D17*K11</f>
        <v>1031.6500000000001</v>
      </c>
      <c r="L17" s="225">
        <f t="shared" si="0"/>
        <v>134661.27449999997</v>
      </c>
    </row>
    <row r="18" spans="2:12" ht="15.6" x14ac:dyDescent="0.3">
      <c r="C18" s="139" t="s">
        <v>142</v>
      </c>
      <c r="D18" s="210">
        <v>66817</v>
      </c>
      <c r="E18" s="209">
        <f>D18*E11</f>
        <v>10690.72</v>
      </c>
      <c r="F18" s="209">
        <f>D18*F11</f>
        <v>1336.34</v>
      </c>
      <c r="G18" s="209">
        <f>D18*G11</f>
        <v>4009.02</v>
      </c>
      <c r="H18" s="209">
        <f>D18*H11</f>
        <v>2672.68</v>
      </c>
      <c r="I18" s="209">
        <f>D18*I11</f>
        <v>1002.255</v>
      </c>
      <c r="J18" s="209">
        <f>D18*J11</f>
        <v>20.045099999999998</v>
      </c>
      <c r="K18" s="209">
        <f>D18*K11</f>
        <v>668.17</v>
      </c>
      <c r="L18" s="225">
        <f t="shared" si="0"/>
        <v>87216.230100000001</v>
      </c>
    </row>
    <row r="19" spans="2:12" ht="15.6" x14ac:dyDescent="0.3">
      <c r="C19" s="139" t="s">
        <v>143</v>
      </c>
      <c r="D19" s="211">
        <v>85044</v>
      </c>
      <c r="E19" s="209">
        <f>D19*E11</f>
        <v>13607.04</v>
      </c>
      <c r="F19" s="209">
        <f>D19*F11</f>
        <v>1700.88</v>
      </c>
      <c r="G19" s="209">
        <f>D19*G11</f>
        <v>5102.6399999999994</v>
      </c>
      <c r="H19" s="209">
        <f>D19*H11</f>
        <v>3401.76</v>
      </c>
      <c r="I19" s="209">
        <f>D19*I11</f>
        <v>1275.6599999999999</v>
      </c>
      <c r="J19" s="209">
        <f>D19*J11</f>
        <v>25.513199999999998</v>
      </c>
      <c r="K19" s="209">
        <f>D19*K11</f>
        <v>850.44</v>
      </c>
      <c r="L19" s="225">
        <f t="shared" si="0"/>
        <v>111007.93320000001</v>
      </c>
    </row>
    <row r="20" spans="2:12" ht="15.6" x14ac:dyDescent="0.3">
      <c r="C20" s="139" t="s">
        <v>144</v>
      </c>
      <c r="D20" s="211">
        <v>49355</v>
      </c>
      <c r="E20" s="209">
        <f>D20*E11</f>
        <v>7896.8</v>
      </c>
      <c r="F20" s="209">
        <f>D20*F11</f>
        <v>987.1</v>
      </c>
      <c r="G20" s="209">
        <f>D20*G11</f>
        <v>2961.2999999999997</v>
      </c>
      <c r="H20" s="209">
        <f>D20*H11</f>
        <v>1974.2</v>
      </c>
      <c r="I20" s="209">
        <f>D20*I11</f>
        <v>740.32499999999993</v>
      </c>
      <c r="J20" s="209">
        <f>D20*J11</f>
        <v>14.806499999999998</v>
      </c>
      <c r="K20" s="209">
        <f>D20*K11</f>
        <v>493.55</v>
      </c>
      <c r="L20" s="225">
        <f t="shared" si="0"/>
        <v>64423.0815</v>
      </c>
    </row>
    <row r="21" spans="2:12" ht="15.6" x14ac:dyDescent="0.3">
      <c r="C21" s="139" t="s">
        <v>145</v>
      </c>
      <c r="D21" s="210">
        <v>49355</v>
      </c>
      <c r="E21" s="209">
        <f>D21*E11</f>
        <v>7896.8</v>
      </c>
      <c r="F21" s="209">
        <f>D21*F11</f>
        <v>987.1</v>
      </c>
      <c r="G21" s="209">
        <f>D21*G11</f>
        <v>2961.2999999999997</v>
      </c>
      <c r="H21" s="209">
        <f>D21*H11</f>
        <v>1974.2</v>
      </c>
      <c r="I21" s="209">
        <f>D21*I11</f>
        <v>740.32499999999993</v>
      </c>
      <c r="J21" s="209">
        <f>D21*J11</f>
        <v>14.806499999999998</v>
      </c>
      <c r="K21" s="209">
        <f>D21*K11</f>
        <v>493.55</v>
      </c>
      <c r="L21" s="225">
        <f t="shared" si="0"/>
        <v>64423.0815</v>
      </c>
    </row>
    <row r="22" spans="2:12" ht="15.6" x14ac:dyDescent="0.3">
      <c r="C22" s="139" t="s">
        <v>146</v>
      </c>
      <c r="D22" s="210">
        <v>85044</v>
      </c>
      <c r="E22" s="209">
        <f>D22*E11</f>
        <v>13607.04</v>
      </c>
      <c r="F22" s="209">
        <f>D22*F11</f>
        <v>1700.88</v>
      </c>
      <c r="G22" s="209">
        <f>D22*G11</f>
        <v>5102.6399999999994</v>
      </c>
      <c r="H22" s="209">
        <f>D22*H11</f>
        <v>3401.76</v>
      </c>
      <c r="I22" s="209">
        <f>D22*I11</f>
        <v>1275.6599999999999</v>
      </c>
      <c r="J22" s="209">
        <f>D22*J11</f>
        <v>25.513199999999998</v>
      </c>
      <c r="K22" s="209">
        <f>D22*K11</f>
        <v>850.44</v>
      </c>
      <c r="L22" s="225">
        <f t="shared" si="0"/>
        <v>111007.93320000001</v>
      </c>
    </row>
    <row r="23" spans="2:12" ht="15.6" x14ac:dyDescent="0.3">
      <c r="C23" s="139" t="s">
        <v>147</v>
      </c>
      <c r="D23" s="211">
        <v>69091</v>
      </c>
      <c r="E23" s="209">
        <f>D23*E11</f>
        <v>11054.56</v>
      </c>
      <c r="F23" s="209">
        <f>D23*F11</f>
        <v>1381.82</v>
      </c>
      <c r="G23" s="209">
        <f>D23*G11</f>
        <v>4145.46</v>
      </c>
      <c r="H23" s="209">
        <f>D23*H11</f>
        <v>2763.64</v>
      </c>
      <c r="I23" s="209">
        <f>D23*I11</f>
        <v>1036.365</v>
      </c>
      <c r="J23" s="209">
        <f>D23*J11</f>
        <v>20.7273</v>
      </c>
      <c r="K23" s="209">
        <f>D23*K11</f>
        <v>690.91</v>
      </c>
      <c r="L23" s="225">
        <f t="shared" si="0"/>
        <v>90184.482300000018</v>
      </c>
    </row>
    <row r="24" spans="2:12" ht="15.6" x14ac:dyDescent="0.3">
      <c r="C24" s="139" t="s">
        <v>148</v>
      </c>
      <c r="D24" s="211">
        <v>85044</v>
      </c>
      <c r="E24" s="209">
        <f>D24*E11</f>
        <v>13607.04</v>
      </c>
      <c r="F24" s="209">
        <f>D24*F11</f>
        <v>1700.88</v>
      </c>
      <c r="G24" s="209">
        <f>D24*G11</f>
        <v>5102.6399999999994</v>
      </c>
      <c r="H24" s="209">
        <f>D24*H11</f>
        <v>3401.76</v>
      </c>
      <c r="I24" s="209">
        <f>D24*I11</f>
        <v>1275.6599999999999</v>
      </c>
      <c r="J24" s="209">
        <f>D24*J11</f>
        <v>25.513199999999998</v>
      </c>
      <c r="K24" s="209">
        <f>D24*K11</f>
        <v>850.44</v>
      </c>
      <c r="L24" s="225">
        <f t="shared" si="0"/>
        <v>111007.93320000001</v>
      </c>
    </row>
    <row r="25" spans="2:12" ht="15.6" x14ac:dyDescent="0.3">
      <c r="C25" s="139" t="s">
        <v>149</v>
      </c>
      <c r="D25" s="210">
        <v>49355</v>
      </c>
      <c r="E25" s="209">
        <f>D25*E11</f>
        <v>7896.8</v>
      </c>
      <c r="F25" s="209">
        <f>D25*F11</f>
        <v>987.1</v>
      </c>
      <c r="G25" s="209">
        <f>D25*G11</f>
        <v>2961.2999999999997</v>
      </c>
      <c r="H25" s="209">
        <f>D25*H11</f>
        <v>1974.2</v>
      </c>
      <c r="I25" s="209">
        <f>D25*I11</f>
        <v>740.32499999999993</v>
      </c>
      <c r="J25" s="209">
        <f>D25*J11</f>
        <v>14.806499999999998</v>
      </c>
      <c r="K25" s="209">
        <f>D25*K11</f>
        <v>493.55</v>
      </c>
      <c r="L25" s="225">
        <f t="shared" si="0"/>
        <v>64423.0815</v>
      </c>
    </row>
    <row r="26" spans="2:12" ht="15.6" x14ac:dyDescent="0.3">
      <c r="C26" s="139" t="s">
        <v>150</v>
      </c>
      <c r="D26" s="210">
        <v>103165</v>
      </c>
      <c r="E26" s="209">
        <f>D26*E11</f>
        <v>16506.400000000001</v>
      </c>
      <c r="F26" s="209">
        <f>D26*F11</f>
        <v>2063.3000000000002</v>
      </c>
      <c r="G26" s="209">
        <f>D26*G11</f>
        <v>6189.9</v>
      </c>
      <c r="H26" s="209">
        <f>D26*H11</f>
        <v>4126.6000000000004</v>
      </c>
      <c r="I26" s="209">
        <f>D26*I11</f>
        <v>1547.4749999999999</v>
      </c>
      <c r="J26" s="209">
        <f>D26*J11</f>
        <v>30.949499999999997</v>
      </c>
      <c r="K26" s="209">
        <f>D26*K11</f>
        <v>1031.6500000000001</v>
      </c>
      <c r="L26" s="225">
        <f t="shared" si="0"/>
        <v>134661.27449999997</v>
      </c>
    </row>
    <row r="27" spans="2:12" ht="15.6" x14ac:dyDescent="0.3">
      <c r="C27" s="139" t="s">
        <v>152</v>
      </c>
      <c r="D27" s="211">
        <v>85044</v>
      </c>
      <c r="E27" s="209">
        <f>D27*E11</f>
        <v>13607.04</v>
      </c>
      <c r="F27" s="209">
        <f>D27*F11</f>
        <v>1700.88</v>
      </c>
      <c r="G27" s="209">
        <f>D27*G11</f>
        <v>5102.6399999999994</v>
      </c>
      <c r="H27" s="209">
        <f>D27*H11</f>
        <v>3401.76</v>
      </c>
      <c r="I27" s="209">
        <f>D27*I11</f>
        <v>1275.6599999999999</v>
      </c>
      <c r="J27" s="209">
        <f>D27*J11</f>
        <v>25.513199999999998</v>
      </c>
      <c r="K27" s="209">
        <f>D27*K11</f>
        <v>850.44</v>
      </c>
      <c r="L27" s="225">
        <f t="shared" si="0"/>
        <v>111007.93320000001</v>
      </c>
    </row>
    <row r="28" spans="2:12" ht="15.6" x14ac:dyDescent="0.3">
      <c r="C28" s="139" t="s">
        <v>151</v>
      </c>
      <c r="D28" s="211">
        <v>103165</v>
      </c>
      <c r="E28" s="209">
        <f>D28*E11</f>
        <v>16506.400000000001</v>
      </c>
      <c r="F28" s="209">
        <f>D28*F11</f>
        <v>2063.3000000000002</v>
      </c>
      <c r="G28" s="209">
        <f>D28*G11</f>
        <v>6189.9</v>
      </c>
      <c r="H28" s="209">
        <f>D28*H11</f>
        <v>4126.6000000000004</v>
      </c>
      <c r="I28" s="209">
        <f>D28*I11</f>
        <v>1547.4749999999999</v>
      </c>
      <c r="J28" s="209">
        <f>D28*J11</f>
        <v>30.949499999999997</v>
      </c>
      <c r="K28" s="209">
        <f>D28*K11</f>
        <v>1031.6500000000001</v>
      </c>
      <c r="L28" s="225">
        <f t="shared" si="0"/>
        <v>134661.27449999997</v>
      </c>
    </row>
    <row r="29" spans="2:12" ht="15.6" x14ac:dyDescent="0.3">
      <c r="C29" s="139" t="s">
        <v>153</v>
      </c>
      <c r="D29" s="210">
        <v>72377</v>
      </c>
      <c r="E29" s="209">
        <f>D29*E11</f>
        <v>11580.32</v>
      </c>
      <c r="F29" s="209">
        <f>D29*F11</f>
        <v>1447.54</v>
      </c>
      <c r="G29" s="209">
        <f>D29*G11</f>
        <v>4342.62</v>
      </c>
      <c r="H29" s="209">
        <f>D29*H11</f>
        <v>2895.08</v>
      </c>
      <c r="I29" s="209">
        <f>D29*I11</f>
        <v>1085.655</v>
      </c>
      <c r="J29" s="209">
        <f>D29*J11</f>
        <v>21.713099999999997</v>
      </c>
      <c r="K29" s="209">
        <f>D29*K11</f>
        <v>723.77</v>
      </c>
      <c r="L29" s="225">
        <f t="shared" si="0"/>
        <v>94473.698099999994</v>
      </c>
    </row>
    <row r="30" spans="2:12" ht="15.6" x14ac:dyDescent="0.3">
      <c r="B30" t="s">
        <v>237</v>
      </c>
      <c r="C30" s="139" t="s">
        <v>160</v>
      </c>
      <c r="D30" s="210">
        <v>66817</v>
      </c>
      <c r="E30" s="209">
        <f>D30*E11</f>
        <v>10690.72</v>
      </c>
      <c r="F30" s="209">
        <f>D30*F11</f>
        <v>1336.34</v>
      </c>
      <c r="G30" s="209">
        <f>D30*G11</f>
        <v>4009.02</v>
      </c>
      <c r="H30" s="209">
        <f>D30*H11</f>
        <v>2672.68</v>
      </c>
      <c r="I30" s="209">
        <f>D30*I11</f>
        <v>1002.255</v>
      </c>
      <c r="J30" s="209">
        <f>D30*J11</f>
        <v>20.045099999999998</v>
      </c>
      <c r="K30" s="209">
        <f>D30*K11</f>
        <v>668.17</v>
      </c>
      <c r="L30" s="225">
        <f t="shared" si="0"/>
        <v>87216.230100000001</v>
      </c>
    </row>
    <row r="31" spans="2:12" ht="15.6" x14ac:dyDescent="0.3">
      <c r="B31" t="s">
        <v>239</v>
      </c>
      <c r="C31" s="139" t="s">
        <v>240</v>
      </c>
      <c r="D31" s="211">
        <v>85044</v>
      </c>
      <c r="E31" s="209">
        <f>D31*E11</f>
        <v>13607.04</v>
      </c>
      <c r="F31" s="209">
        <f>D31*F11</f>
        <v>1700.88</v>
      </c>
      <c r="G31" s="209">
        <f>D31*G11</f>
        <v>5102.6399999999994</v>
      </c>
      <c r="H31" s="209">
        <f>D31*H11</f>
        <v>3401.76</v>
      </c>
      <c r="I31" s="209">
        <f>D31*I11</f>
        <v>1275.6599999999999</v>
      </c>
      <c r="J31" s="209">
        <f>D31*J11</f>
        <v>25.513199999999998</v>
      </c>
      <c r="K31" s="209">
        <f>D31*K11</f>
        <v>850.44</v>
      </c>
      <c r="L31" s="225">
        <f t="shared" si="0"/>
        <v>111007.93320000001</v>
      </c>
    </row>
    <row r="32" spans="2:12" ht="15.6" x14ac:dyDescent="0.3">
      <c r="C32" s="139" t="s">
        <v>241</v>
      </c>
      <c r="D32" s="211">
        <v>66817</v>
      </c>
      <c r="E32" s="209">
        <f>D32*E11</f>
        <v>10690.72</v>
      </c>
      <c r="F32" s="209">
        <f>D32*F11</f>
        <v>1336.34</v>
      </c>
      <c r="G32" s="209">
        <f>D32*G11</f>
        <v>4009.02</v>
      </c>
      <c r="H32" s="209">
        <f>D32*H11</f>
        <v>2672.68</v>
      </c>
      <c r="I32" s="209">
        <f>D32*I11</f>
        <v>1002.255</v>
      </c>
      <c r="J32" s="209">
        <f>D32*J11</f>
        <v>20.045099999999998</v>
      </c>
      <c r="K32" s="209">
        <f>D32*K11</f>
        <v>668.17</v>
      </c>
      <c r="L32" s="225">
        <f t="shared" si="0"/>
        <v>87216.230100000001</v>
      </c>
    </row>
    <row r="33" spans="3:28" ht="16.2" thickBot="1" x14ac:dyDescent="0.35">
      <c r="C33" s="227" t="s">
        <v>244</v>
      </c>
      <c r="D33" s="229">
        <v>44239</v>
      </c>
      <c r="E33" s="212">
        <f>D33*E11</f>
        <v>7078.24</v>
      </c>
      <c r="F33" s="212">
        <f>D33*F11</f>
        <v>884.78</v>
      </c>
      <c r="G33" s="212">
        <f>D33*G11</f>
        <v>2654.3399999999997</v>
      </c>
      <c r="H33" s="212">
        <f>D33*H11</f>
        <v>1769.56</v>
      </c>
      <c r="I33" s="212">
        <f>D33*I11</f>
        <v>663.58499999999992</v>
      </c>
      <c r="J33" s="212">
        <f>D33*J11</f>
        <v>13.271699999999999</v>
      </c>
      <c r="K33" s="228">
        <f>D33*K11</f>
        <v>442.39</v>
      </c>
      <c r="L33" s="226">
        <f t="shared" si="0"/>
        <v>57745.166699999987</v>
      </c>
    </row>
    <row r="34" spans="3:28" ht="15.75" customHeight="1" x14ac:dyDescent="0.3">
      <c r="C34" s="25"/>
      <c r="D34" s="215"/>
      <c r="E34" s="216"/>
      <c r="F34" s="216"/>
      <c r="G34" s="216"/>
      <c r="H34" s="216"/>
      <c r="I34" s="216"/>
      <c r="J34" s="216"/>
      <c r="K34" s="216"/>
      <c r="L34" s="223"/>
    </row>
    <row r="35" spans="3:28" ht="15" thickBot="1" x14ac:dyDescent="0.35"/>
    <row r="36" spans="3:28" ht="26.4" thickBot="1" x14ac:dyDescent="0.55000000000000004">
      <c r="C36" s="841" t="s">
        <v>246</v>
      </c>
      <c r="D36" s="842"/>
      <c r="E36" s="842"/>
      <c r="F36" s="842"/>
      <c r="G36" s="842"/>
      <c r="H36" s="842"/>
      <c r="I36" s="842"/>
      <c r="J36" s="842"/>
      <c r="K36" s="842"/>
      <c r="L36" s="842"/>
      <c r="M36" s="842"/>
      <c r="N36" s="842"/>
      <c r="O36" s="842"/>
      <c r="P36" s="842"/>
      <c r="Q36" s="842"/>
      <c r="R36" s="842"/>
      <c r="S36" s="842"/>
      <c r="T36" s="842"/>
      <c r="U36" s="842"/>
      <c r="V36" s="842"/>
      <c r="W36" s="842"/>
      <c r="X36" s="842"/>
      <c r="Y36" s="842"/>
      <c r="Z36" s="842"/>
      <c r="AA36" s="842"/>
      <c r="AB36" s="843"/>
    </row>
    <row r="37" spans="3:28" ht="15.6" x14ac:dyDescent="0.3">
      <c r="C37" s="847" t="s">
        <v>225</v>
      </c>
      <c r="D37" s="844" t="s">
        <v>28</v>
      </c>
      <c r="E37" s="844"/>
      <c r="F37" s="844" t="s">
        <v>29</v>
      </c>
      <c r="G37" s="844"/>
      <c r="H37" s="844" t="s">
        <v>30</v>
      </c>
      <c r="I37" s="844"/>
      <c r="J37" s="844" t="s">
        <v>31</v>
      </c>
      <c r="K37" s="844"/>
      <c r="L37" s="844" t="s">
        <v>32</v>
      </c>
      <c r="M37" s="844"/>
      <c r="N37" s="844" t="s">
        <v>232</v>
      </c>
      <c r="O37" s="844"/>
      <c r="P37" s="844" t="s">
        <v>34</v>
      </c>
      <c r="Q37" s="844"/>
      <c r="R37" s="844" t="s">
        <v>35</v>
      </c>
      <c r="S37" s="844"/>
      <c r="T37" s="844" t="s">
        <v>36</v>
      </c>
      <c r="U37" s="844"/>
      <c r="V37" s="844" t="s">
        <v>37</v>
      </c>
      <c r="W37" s="844"/>
      <c r="X37" s="844" t="s">
        <v>38</v>
      </c>
      <c r="Y37" s="844"/>
      <c r="Z37" s="844" t="s">
        <v>233</v>
      </c>
      <c r="AA37" s="844"/>
      <c r="AB37" s="845" t="s">
        <v>234</v>
      </c>
    </row>
    <row r="38" spans="3:28" ht="16.2" thickBot="1" x14ac:dyDescent="0.35">
      <c r="C38" s="848"/>
      <c r="D38" s="69" t="s">
        <v>42</v>
      </c>
      <c r="E38" s="69" t="s">
        <v>43</v>
      </c>
      <c r="F38" s="69" t="s">
        <v>42</v>
      </c>
      <c r="G38" s="69" t="s">
        <v>43</v>
      </c>
      <c r="H38" s="69" t="s">
        <v>42</v>
      </c>
      <c r="I38" s="69" t="s">
        <v>43</v>
      </c>
      <c r="J38" s="69" t="s">
        <v>42</v>
      </c>
      <c r="K38" s="69" t="s">
        <v>43</v>
      </c>
      <c r="L38" s="69" t="s">
        <v>42</v>
      </c>
      <c r="M38" s="69" t="s">
        <v>43</v>
      </c>
      <c r="N38" s="69" t="s">
        <v>42</v>
      </c>
      <c r="O38" s="69" t="s">
        <v>43</v>
      </c>
      <c r="P38" s="69" t="s">
        <v>42</v>
      </c>
      <c r="Q38" s="69" t="s">
        <v>43</v>
      </c>
      <c r="R38" s="69" t="s">
        <v>42</v>
      </c>
      <c r="S38" s="69" t="s">
        <v>43</v>
      </c>
      <c r="T38" s="69" t="s">
        <v>42</v>
      </c>
      <c r="U38" s="69" t="s">
        <v>43</v>
      </c>
      <c r="V38" s="69" t="s">
        <v>42</v>
      </c>
      <c r="W38" s="69" t="s">
        <v>43</v>
      </c>
      <c r="X38" s="69" t="s">
        <v>42</v>
      </c>
      <c r="Y38" s="69" t="s">
        <v>43</v>
      </c>
      <c r="Z38" s="69" t="s">
        <v>42</v>
      </c>
      <c r="AA38" s="69" t="s">
        <v>43</v>
      </c>
      <c r="AB38" s="846"/>
    </row>
    <row r="39" spans="3:28" x14ac:dyDescent="0.3">
      <c r="C39" s="143" t="s">
        <v>105</v>
      </c>
      <c r="D39" s="213">
        <v>1</v>
      </c>
      <c r="E39" s="70">
        <f>D39*L13</f>
        <v>306413.95380000002</v>
      </c>
      <c r="F39" s="213">
        <v>1</v>
      </c>
      <c r="G39" s="70">
        <f>F39*L13</f>
        <v>306413.95380000002</v>
      </c>
      <c r="H39" s="213">
        <v>1</v>
      </c>
      <c r="I39" s="70">
        <f>H39*L13</f>
        <v>306413.95380000002</v>
      </c>
      <c r="J39" s="213">
        <v>1</v>
      </c>
      <c r="K39" s="70">
        <f>J39*L13</f>
        <v>306413.95380000002</v>
      </c>
      <c r="L39" s="213">
        <v>1</v>
      </c>
      <c r="M39" s="70">
        <f>L39*L13</f>
        <v>306413.95380000002</v>
      </c>
      <c r="N39" s="213">
        <v>1</v>
      </c>
      <c r="O39" s="70">
        <f>N39*L13*1.5</f>
        <v>459620.93070000003</v>
      </c>
      <c r="P39" s="213">
        <v>1</v>
      </c>
      <c r="Q39" s="70">
        <f>P39*L13</f>
        <v>306413.95380000002</v>
      </c>
      <c r="R39" s="213">
        <v>1</v>
      </c>
      <c r="S39" s="70">
        <f>R39*L13</f>
        <v>306413.95380000002</v>
      </c>
      <c r="T39" s="213">
        <v>1</v>
      </c>
      <c r="U39" s="70">
        <f>T39*L13</f>
        <v>306413.95380000002</v>
      </c>
      <c r="V39" s="213">
        <v>1</v>
      </c>
      <c r="W39" s="70">
        <f>V39*L13</f>
        <v>306413.95380000002</v>
      </c>
      <c r="X39" s="213">
        <v>1</v>
      </c>
      <c r="Y39" s="70">
        <f>X39*L13</f>
        <v>306413.95380000002</v>
      </c>
      <c r="Z39" s="213">
        <v>1</v>
      </c>
      <c r="AA39" s="70">
        <f>Z39*L13*1.5</f>
        <v>459620.93070000003</v>
      </c>
      <c r="AB39" s="231">
        <f>E39+G39+I39+K39+M39+O39+Q39+S39+U39+W39+Y39+AA39</f>
        <v>3983381.3994000009</v>
      </c>
    </row>
    <row r="40" spans="3:28" x14ac:dyDescent="0.3">
      <c r="C40" s="139" t="s">
        <v>106</v>
      </c>
      <c r="D40" s="213">
        <v>1</v>
      </c>
      <c r="E40" s="70">
        <f t="shared" ref="E40:E59" si="1">D40*L14</f>
        <v>242674.84949999998</v>
      </c>
      <c r="F40" s="213">
        <v>1</v>
      </c>
      <c r="G40" s="70">
        <f t="shared" ref="G40:G59" si="2">F40*L14</f>
        <v>242674.84949999998</v>
      </c>
      <c r="H40" s="213">
        <v>1</v>
      </c>
      <c r="I40" s="70">
        <f t="shared" ref="I40:I59" si="3">H40*L14</f>
        <v>242674.84949999998</v>
      </c>
      <c r="J40" s="213">
        <v>1</v>
      </c>
      <c r="K40" s="70">
        <f t="shared" ref="K40:K59" si="4">J40*L14</f>
        <v>242674.84949999998</v>
      </c>
      <c r="L40" s="213">
        <v>1</v>
      </c>
      <c r="M40" s="70">
        <f t="shared" ref="M40:M59" si="5">L40*L14</f>
        <v>242674.84949999998</v>
      </c>
      <c r="N40" s="213">
        <v>1</v>
      </c>
      <c r="O40" s="70">
        <f t="shared" ref="O40:O59" si="6">N40*L14*1.5</f>
        <v>364012.27424999996</v>
      </c>
      <c r="P40" s="213">
        <v>1</v>
      </c>
      <c r="Q40" s="70">
        <f t="shared" ref="Q40:Q59" si="7">P40*L14</f>
        <v>242674.84949999998</v>
      </c>
      <c r="R40" s="213">
        <v>1</v>
      </c>
      <c r="S40" s="70">
        <f t="shared" ref="S40:S59" si="8">R40*L14</f>
        <v>242674.84949999998</v>
      </c>
      <c r="T40" s="213">
        <v>1</v>
      </c>
      <c r="U40" s="70">
        <f t="shared" ref="U40:U59" si="9">T40*L14</f>
        <v>242674.84949999998</v>
      </c>
      <c r="V40" s="213">
        <v>1</v>
      </c>
      <c r="W40" s="70">
        <f t="shared" ref="W40:W59" si="10">V40*L14</f>
        <v>242674.84949999998</v>
      </c>
      <c r="X40" s="213">
        <v>1</v>
      </c>
      <c r="Y40" s="70">
        <f t="shared" ref="Y40:Y59" si="11">X40*L14</f>
        <v>242674.84949999998</v>
      </c>
      <c r="Z40" s="213">
        <v>1</v>
      </c>
      <c r="AA40" s="70">
        <f t="shared" ref="AA40:AA59" si="12">Z40*L14*1.5</f>
        <v>364012.27424999996</v>
      </c>
      <c r="AB40" s="231">
        <f t="shared" ref="AB40:AB59" si="13">E40+G40+I40+K40+M40+O40+Q40+S40+U40+W40+Y40+AA40</f>
        <v>3154773.0434999997</v>
      </c>
    </row>
    <row r="41" spans="3:28" x14ac:dyDescent="0.3">
      <c r="C41" s="139" t="s">
        <v>107</v>
      </c>
      <c r="D41" s="213">
        <v>1</v>
      </c>
      <c r="E41" s="70">
        <f t="shared" si="1"/>
        <v>242674.84949999998</v>
      </c>
      <c r="F41" s="213">
        <v>1</v>
      </c>
      <c r="G41" s="70">
        <f t="shared" si="2"/>
        <v>242674.84949999998</v>
      </c>
      <c r="H41" s="213">
        <v>1</v>
      </c>
      <c r="I41" s="70">
        <f t="shared" si="3"/>
        <v>242674.84949999998</v>
      </c>
      <c r="J41" s="213">
        <v>1</v>
      </c>
      <c r="K41" s="70">
        <f t="shared" si="4"/>
        <v>242674.84949999998</v>
      </c>
      <c r="L41" s="213">
        <v>1</v>
      </c>
      <c r="M41" s="70">
        <f t="shared" si="5"/>
        <v>242674.84949999998</v>
      </c>
      <c r="N41" s="213">
        <v>1</v>
      </c>
      <c r="O41" s="70">
        <f t="shared" si="6"/>
        <v>364012.27424999996</v>
      </c>
      <c r="P41" s="213">
        <v>1</v>
      </c>
      <c r="Q41" s="70">
        <f t="shared" si="7"/>
        <v>242674.84949999998</v>
      </c>
      <c r="R41" s="213">
        <v>1</v>
      </c>
      <c r="S41" s="70">
        <f t="shared" si="8"/>
        <v>242674.84949999998</v>
      </c>
      <c r="T41" s="213">
        <v>1</v>
      </c>
      <c r="U41" s="70">
        <f t="shared" si="9"/>
        <v>242674.84949999998</v>
      </c>
      <c r="V41" s="213">
        <v>1</v>
      </c>
      <c r="W41" s="70">
        <f t="shared" si="10"/>
        <v>242674.84949999998</v>
      </c>
      <c r="X41" s="213">
        <v>1</v>
      </c>
      <c r="Y41" s="70">
        <f t="shared" si="11"/>
        <v>242674.84949999998</v>
      </c>
      <c r="Z41" s="213">
        <v>1</v>
      </c>
      <c r="AA41" s="70">
        <f t="shared" si="12"/>
        <v>364012.27424999996</v>
      </c>
      <c r="AB41" s="231">
        <f t="shared" si="13"/>
        <v>3154773.0434999997</v>
      </c>
    </row>
    <row r="42" spans="3:28" x14ac:dyDescent="0.3">
      <c r="C42" s="139" t="s">
        <v>108</v>
      </c>
      <c r="D42" s="213">
        <v>1</v>
      </c>
      <c r="E42" s="70">
        <f t="shared" si="1"/>
        <v>134661.27449999997</v>
      </c>
      <c r="F42" s="213">
        <v>1</v>
      </c>
      <c r="G42" s="70">
        <f t="shared" si="2"/>
        <v>134661.27449999997</v>
      </c>
      <c r="H42" s="213">
        <v>1</v>
      </c>
      <c r="I42" s="70">
        <f t="shared" si="3"/>
        <v>134661.27449999997</v>
      </c>
      <c r="J42" s="213">
        <v>1</v>
      </c>
      <c r="K42" s="70">
        <f t="shared" si="4"/>
        <v>134661.27449999997</v>
      </c>
      <c r="L42" s="213">
        <v>1</v>
      </c>
      <c r="M42" s="70">
        <f t="shared" si="5"/>
        <v>134661.27449999997</v>
      </c>
      <c r="N42" s="213">
        <v>1</v>
      </c>
      <c r="O42" s="70">
        <f t="shared" si="6"/>
        <v>201991.91174999997</v>
      </c>
      <c r="P42" s="213">
        <v>1</v>
      </c>
      <c r="Q42" s="70">
        <f t="shared" si="7"/>
        <v>134661.27449999997</v>
      </c>
      <c r="R42" s="213">
        <v>1</v>
      </c>
      <c r="S42" s="70">
        <f t="shared" si="8"/>
        <v>134661.27449999997</v>
      </c>
      <c r="T42" s="213">
        <v>1</v>
      </c>
      <c r="U42" s="70">
        <f t="shared" si="9"/>
        <v>134661.27449999997</v>
      </c>
      <c r="V42" s="213">
        <v>1</v>
      </c>
      <c r="W42" s="70">
        <f t="shared" si="10"/>
        <v>134661.27449999997</v>
      </c>
      <c r="X42" s="61">
        <v>1</v>
      </c>
      <c r="Y42" s="70">
        <f t="shared" si="11"/>
        <v>134661.27449999997</v>
      </c>
      <c r="Z42" s="213">
        <v>1</v>
      </c>
      <c r="AA42" s="70">
        <f t="shared" si="12"/>
        <v>201991.91174999997</v>
      </c>
      <c r="AB42" s="231">
        <f t="shared" si="13"/>
        <v>1750596.5684999998</v>
      </c>
    </row>
    <row r="43" spans="3:28" x14ac:dyDescent="0.3">
      <c r="C43" s="139" t="s">
        <v>114</v>
      </c>
      <c r="D43" s="213">
        <v>0</v>
      </c>
      <c r="E43" s="70">
        <f t="shared" si="1"/>
        <v>0</v>
      </c>
      <c r="F43" s="213">
        <v>0</v>
      </c>
      <c r="G43" s="70">
        <f t="shared" si="2"/>
        <v>0</v>
      </c>
      <c r="H43" s="213">
        <v>0</v>
      </c>
      <c r="I43" s="70">
        <f t="shared" si="3"/>
        <v>0</v>
      </c>
      <c r="J43" s="213">
        <v>0</v>
      </c>
      <c r="K43" s="70">
        <f t="shared" si="4"/>
        <v>0</v>
      </c>
      <c r="L43" s="250">
        <v>1</v>
      </c>
      <c r="M43" s="70">
        <f t="shared" si="5"/>
        <v>134661.27449999997</v>
      </c>
      <c r="N43" s="213">
        <v>1</v>
      </c>
      <c r="O43" s="70">
        <f t="shared" si="6"/>
        <v>201991.91174999997</v>
      </c>
      <c r="P43" s="213">
        <v>1</v>
      </c>
      <c r="Q43" s="70">
        <f t="shared" si="7"/>
        <v>134661.27449999997</v>
      </c>
      <c r="R43" s="213">
        <v>1</v>
      </c>
      <c r="S43" s="70">
        <f t="shared" si="8"/>
        <v>134661.27449999997</v>
      </c>
      <c r="T43" s="213">
        <v>1</v>
      </c>
      <c r="U43" s="70">
        <f t="shared" si="9"/>
        <v>134661.27449999997</v>
      </c>
      <c r="V43" s="213">
        <v>1</v>
      </c>
      <c r="W43" s="70">
        <f t="shared" si="10"/>
        <v>134661.27449999997</v>
      </c>
      <c r="X43" s="213">
        <v>1</v>
      </c>
      <c r="Y43" s="70">
        <f t="shared" si="11"/>
        <v>134661.27449999997</v>
      </c>
      <c r="Z43" s="213">
        <v>1</v>
      </c>
      <c r="AA43" s="70">
        <f t="shared" si="12"/>
        <v>201991.91174999997</v>
      </c>
      <c r="AB43" s="231">
        <f t="shared" si="13"/>
        <v>1211951.4704999996</v>
      </c>
    </row>
    <row r="44" spans="3:28" x14ac:dyDescent="0.3">
      <c r="C44" s="139" t="s">
        <v>142</v>
      </c>
      <c r="D44" s="213">
        <v>0</v>
      </c>
      <c r="E44" s="70">
        <f t="shared" si="1"/>
        <v>0</v>
      </c>
      <c r="F44" s="213">
        <v>0</v>
      </c>
      <c r="G44" s="70">
        <f t="shared" si="2"/>
        <v>0</v>
      </c>
      <c r="H44" s="213">
        <v>0</v>
      </c>
      <c r="I44" s="70">
        <f t="shared" si="3"/>
        <v>0</v>
      </c>
      <c r="J44" s="213">
        <v>0</v>
      </c>
      <c r="K44" s="70">
        <f t="shared" si="4"/>
        <v>0</v>
      </c>
      <c r="L44" s="213">
        <v>0</v>
      </c>
      <c r="M44" s="70">
        <f t="shared" si="5"/>
        <v>0</v>
      </c>
      <c r="N44" s="213">
        <v>0</v>
      </c>
      <c r="O44" s="70">
        <f t="shared" si="6"/>
        <v>0</v>
      </c>
      <c r="P44" s="213">
        <v>0</v>
      </c>
      <c r="Q44" s="70">
        <f t="shared" si="7"/>
        <v>0</v>
      </c>
      <c r="R44" s="213">
        <v>0</v>
      </c>
      <c r="S44" s="70">
        <f t="shared" si="8"/>
        <v>0</v>
      </c>
      <c r="T44" s="213">
        <v>0</v>
      </c>
      <c r="U44" s="70">
        <f t="shared" si="9"/>
        <v>0</v>
      </c>
      <c r="V44" s="250">
        <v>1</v>
      </c>
      <c r="W44" s="70">
        <f t="shared" si="10"/>
        <v>87216.230100000001</v>
      </c>
      <c r="X44" s="213">
        <v>1</v>
      </c>
      <c r="Y44" s="70">
        <f t="shared" si="11"/>
        <v>87216.230100000001</v>
      </c>
      <c r="Z44" s="213">
        <v>1</v>
      </c>
      <c r="AA44" s="70">
        <f t="shared" si="12"/>
        <v>130824.34515000001</v>
      </c>
      <c r="AB44" s="231">
        <f t="shared" si="13"/>
        <v>305256.80535000004</v>
      </c>
    </row>
    <row r="45" spans="3:28" x14ac:dyDescent="0.3">
      <c r="C45" s="139" t="s">
        <v>143</v>
      </c>
      <c r="D45" s="213">
        <v>0</v>
      </c>
      <c r="E45" s="70">
        <f t="shared" si="1"/>
        <v>0</v>
      </c>
      <c r="F45" s="213">
        <v>0</v>
      </c>
      <c r="G45" s="70">
        <f t="shared" si="2"/>
        <v>0</v>
      </c>
      <c r="H45" s="213">
        <v>0</v>
      </c>
      <c r="I45" s="70">
        <f t="shared" si="3"/>
        <v>0</v>
      </c>
      <c r="J45" s="213">
        <v>0</v>
      </c>
      <c r="K45" s="70">
        <f t="shared" si="4"/>
        <v>0</v>
      </c>
      <c r="L45" s="250">
        <v>1</v>
      </c>
      <c r="M45" s="70">
        <f t="shared" si="5"/>
        <v>111007.93320000001</v>
      </c>
      <c r="N45" s="213">
        <v>1</v>
      </c>
      <c r="O45" s="70">
        <f t="shared" si="6"/>
        <v>166511.89980000001</v>
      </c>
      <c r="P45" s="213">
        <v>1</v>
      </c>
      <c r="Q45" s="70">
        <f t="shared" si="7"/>
        <v>111007.93320000001</v>
      </c>
      <c r="R45" s="213">
        <v>1</v>
      </c>
      <c r="S45" s="70">
        <f t="shared" si="8"/>
        <v>111007.93320000001</v>
      </c>
      <c r="T45" s="213">
        <v>1</v>
      </c>
      <c r="U45" s="70">
        <f t="shared" si="9"/>
        <v>111007.93320000001</v>
      </c>
      <c r="V45" s="213">
        <v>1</v>
      </c>
      <c r="W45" s="70">
        <f t="shared" si="10"/>
        <v>111007.93320000001</v>
      </c>
      <c r="X45" s="213">
        <v>1</v>
      </c>
      <c r="Y45" s="70">
        <f t="shared" si="11"/>
        <v>111007.93320000001</v>
      </c>
      <c r="Z45" s="213">
        <v>1</v>
      </c>
      <c r="AA45" s="70">
        <f t="shared" si="12"/>
        <v>166511.89980000001</v>
      </c>
      <c r="AB45" s="231">
        <f t="shared" si="13"/>
        <v>999071.39880000008</v>
      </c>
    </row>
    <row r="46" spans="3:28" x14ac:dyDescent="0.3">
      <c r="C46" s="139" t="s">
        <v>144</v>
      </c>
      <c r="D46" s="213">
        <v>0</v>
      </c>
      <c r="E46" s="70">
        <f t="shared" si="1"/>
        <v>0</v>
      </c>
      <c r="F46" s="213">
        <v>0</v>
      </c>
      <c r="G46" s="70">
        <f t="shared" si="2"/>
        <v>0</v>
      </c>
      <c r="H46" s="213">
        <v>0</v>
      </c>
      <c r="I46" s="70">
        <f t="shared" si="3"/>
        <v>0</v>
      </c>
      <c r="J46" s="213">
        <v>0</v>
      </c>
      <c r="K46" s="70">
        <f t="shared" si="4"/>
        <v>0</v>
      </c>
      <c r="L46" s="213">
        <v>0</v>
      </c>
      <c r="M46" s="70">
        <f t="shared" si="5"/>
        <v>0</v>
      </c>
      <c r="N46" s="213">
        <v>0</v>
      </c>
      <c r="O46" s="70">
        <f t="shared" si="6"/>
        <v>0</v>
      </c>
      <c r="P46" s="213">
        <v>0</v>
      </c>
      <c r="Q46" s="70">
        <f t="shared" si="7"/>
        <v>0</v>
      </c>
      <c r="R46" s="250">
        <v>1</v>
      </c>
      <c r="S46" s="70">
        <f t="shared" si="8"/>
        <v>64423.0815</v>
      </c>
      <c r="T46" s="213">
        <v>1</v>
      </c>
      <c r="U46" s="70">
        <f t="shared" si="9"/>
        <v>64423.0815</v>
      </c>
      <c r="V46" s="213">
        <v>1</v>
      </c>
      <c r="W46" s="70">
        <f t="shared" si="10"/>
        <v>64423.0815</v>
      </c>
      <c r="X46" s="213">
        <v>1</v>
      </c>
      <c r="Y46" s="70">
        <f t="shared" si="11"/>
        <v>64423.0815</v>
      </c>
      <c r="Z46" s="213">
        <v>1</v>
      </c>
      <c r="AA46" s="70">
        <f t="shared" si="12"/>
        <v>96634.62225</v>
      </c>
      <c r="AB46" s="231">
        <f t="shared" si="13"/>
        <v>354326.94825000002</v>
      </c>
    </row>
    <row r="47" spans="3:28" x14ac:dyDescent="0.3">
      <c r="C47" s="139" t="s">
        <v>145</v>
      </c>
      <c r="D47" s="213">
        <v>0</v>
      </c>
      <c r="E47" s="70">
        <f t="shared" si="1"/>
        <v>0</v>
      </c>
      <c r="F47" s="213">
        <v>0</v>
      </c>
      <c r="G47" s="70">
        <f t="shared" si="2"/>
        <v>0</v>
      </c>
      <c r="H47" s="213">
        <v>0</v>
      </c>
      <c r="I47" s="70">
        <f t="shared" si="3"/>
        <v>0</v>
      </c>
      <c r="J47" s="213">
        <v>0</v>
      </c>
      <c r="K47" s="70">
        <f t="shared" si="4"/>
        <v>0</v>
      </c>
      <c r="L47" s="213">
        <v>0</v>
      </c>
      <c r="M47" s="70">
        <f t="shared" si="5"/>
        <v>0</v>
      </c>
      <c r="N47" s="213">
        <v>0</v>
      </c>
      <c r="O47" s="70">
        <f t="shared" si="6"/>
        <v>0</v>
      </c>
      <c r="P47" s="213">
        <v>0</v>
      </c>
      <c r="Q47" s="70">
        <f t="shared" si="7"/>
        <v>0</v>
      </c>
      <c r="R47" s="213">
        <v>0</v>
      </c>
      <c r="S47" s="70">
        <f t="shared" si="8"/>
        <v>0</v>
      </c>
      <c r="T47" s="250">
        <v>1</v>
      </c>
      <c r="U47" s="70">
        <f t="shared" si="9"/>
        <v>64423.0815</v>
      </c>
      <c r="V47" s="213">
        <v>1</v>
      </c>
      <c r="W47" s="70">
        <f t="shared" si="10"/>
        <v>64423.0815</v>
      </c>
      <c r="X47" s="213">
        <v>1</v>
      </c>
      <c r="Y47" s="70">
        <f t="shared" si="11"/>
        <v>64423.0815</v>
      </c>
      <c r="Z47" s="213">
        <v>1</v>
      </c>
      <c r="AA47" s="70">
        <f t="shared" si="12"/>
        <v>96634.62225</v>
      </c>
      <c r="AB47" s="231">
        <f t="shared" si="13"/>
        <v>289903.86674999999</v>
      </c>
    </row>
    <row r="48" spans="3:28" x14ac:dyDescent="0.3">
      <c r="C48" s="139" t="s">
        <v>146</v>
      </c>
      <c r="D48" s="250">
        <v>1</v>
      </c>
      <c r="E48" s="70">
        <f t="shared" si="1"/>
        <v>111007.93320000001</v>
      </c>
      <c r="F48" s="213">
        <v>1</v>
      </c>
      <c r="G48" s="70">
        <f t="shared" si="2"/>
        <v>111007.93320000001</v>
      </c>
      <c r="H48" s="213">
        <v>1</v>
      </c>
      <c r="I48" s="70">
        <f t="shared" si="3"/>
        <v>111007.93320000001</v>
      </c>
      <c r="J48" s="213">
        <v>1</v>
      </c>
      <c r="K48" s="70">
        <f t="shared" si="4"/>
        <v>111007.93320000001</v>
      </c>
      <c r="L48" s="213">
        <v>1</v>
      </c>
      <c r="M48" s="70">
        <f t="shared" si="5"/>
        <v>111007.93320000001</v>
      </c>
      <c r="N48" s="213">
        <v>1</v>
      </c>
      <c r="O48" s="70">
        <f t="shared" si="6"/>
        <v>166511.89980000001</v>
      </c>
      <c r="P48" s="213">
        <v>1</v>
      </c>
      <c r="Q48" s="70">
        <f t="shared" si="7"/>
        <v>111007.93320000001</v>
      </c>
      <c r="R48" s="213">
        <v>1</v>
      </c>
      <c r="S48" s="70">
        <f t="shared" si="8"/>
        <v>111007.93320000001</v>
      </c>
      <c r="T48" s="213">
        <v>1</v>
      </c>
      <c r="U48" s="70">
        <f t="shared" si="9"/>
        <v>111007.93320000001</v>
      </c>
      <c r="V48" s="213">
        <v>1</v>
      </c>
      <c r="W48" s="70">
        <f t="shared" si="10"/>
        <v>111007.93320000001</v>
      </c>
      <c r="X48" s="213">
        <v>1</v>
      </c>
      <c r="Y48" s="70">
        <f t="shared" si="11"/>
        <v>111007.93320000001</v>
      </c>
      <c r="Z48" s="213">
        <v>1</v>
      </c>
      <c r="AA48" s="70">
        <f t="shared" si="12"/>
        <v>166511.89980000001</v>
      </c>
      <c r="AB48" s="231">
        <f t="shared" si="13"/>
        <v>1443103.1316000002</v>
      </c>
    </row>
    <row r="49" spans="3:28" x14ac:dyDescent="0.3">
      <c r="C49" s="139" t="s">
        <v>147</v>
      </c>
      <c r="D49" s="213">
        <v>0</v>
      </c>
      <c r="E49" s="70">
        <f t="shared" si="1"/>
        <v>0</v>
      </c>
      <c r="F49" s="213">
        <v>0</v>
      </c>
      <c r="G49" s="70">
        <f t="shared" si="2"/>
        <v>0</v>
      </c>
      <c r="H49" s="250">
        <v>1</v>
      </c>
      <c r="I49" s="70">
        <f t="shared" si="3"/>
        <v>90184.482300000018</v>
      </c>
      <c r="J49" s="213">
        <v>1</v>
      </c>
      <c r="K49" s="70">
        <f t="shared" si="4"/>
        <v>90184.482300000018</v>
      </c>
      <c r="L49" s="213">
        <v>1</v>
      </c>
      <c r="M49" s="70">
        <f t="shared" si="5"/>
        <v>90184.482300000018</v>
      </c>
      <c r="N49" s="213">
        <v>1</v>
      </c>
      <c r="O49" s="70">
        <f t="shared" si="6"/>
        <v>135276.72345000002</v>
      </c>
      <c r="P49" s="213">
        <v>1</v>
      </c>
      <c r="Q49" s="70">
        <f t="shared" si="7"/>
        <v>90184.482300000018</v>
      </c>
      <c r="R49" s="213">
        <v>1</v>
      </c>
      <c r="S49" s="70">
        <f t="shared" si="8"/>
        <v>90184.482300000018</v>
      </c>
      <c r="T49" s="213">
        <v>1</v>
      </c>
      <c r="U49" s="70">
        <f t="shared" si="9"/>
        <v>90184.482300000018</v>
      </c>
      <c r="V49" s="213">
        <v>1</v>
      </c>
      <c r="W49" s="70">
        <f t="shared" si="10"/>
        <v>90184.482300000018</v>
      </c>
      <c r="X49" s="213">
        <v>1</v>
      </c>
      <c r="Y49" s="70">
        <f t="shared" si="11"/>
        <v>90184.482300000018</v>
      </c>
      <c r="Z49" s="213">
        <v>1</v>
      </c>
      <c r="AA49" s="70">
        <f t="shared" si="12"/>
        <v>135276.72345000002</v>
      </c>
      <c r="AB49" s="231">
        <f t="shared" si="13"/>
        <v>992029.30530000024</v>
      </c>
    </row>
    <row r="50" spans="3:28" x14ac:dyDescent="0.3">
      <c r="C50" s="139" t="s">
        <v>148</v>
      </c>
      <c r="D50" s="213">
        <v>0</v>
      </c>
      <c r="E50" s="70">
        <f t="shared" si="1"/>
        <v>0</v>
      </c>
      <c r="F50" s="213">
        <v>0</v>
      </c>
      <c r="G50" s="70">
        <f t="shared" si="2"/>
        <v>0</v>
      </c>
      <c r="H50" s="213">
        <v>0</v>
      </c>
      <c r="I50" s="70">
        <f t="shared" si="3"/>
        <v>0</v>
      </c>
      <c r="J50" s="213">
        <v>0</v>
      </c>
      <c r="K50" s="70">
        <f t="shared" si="4"/>
        <v>0</v>
      </c>
      <c r="L50" s="213">
        <v>0</v>
      </c>
      <c r="M50" s="70">
        <f t="shared" si="5"/>
        <v>0</v>
      </c>
      <c r="N50" s="213">
        <v>1</v>
      </c>
      <c r="O50" s="70">
        <f t="shared" si="6"/>
        <v>166511.89980000001</v>
      </c>
      <c r="P50" s="213">
        <v>1</v>
      </c>
      <c r="Q50" s="70">
        <f t="shared" si="7"/>
        <v>111007.93320000001</v>
      </c>
      <c r="R50" s="213">
        <v>1</v>
      </c>
      <c r="S50" s="70">
        <f t="shared" si="8"/>
        <v>111007.93320000001</v>
      </c>
      <c r="T50" s="213">
        <v>1</v>
      </c>
      <c r="U50" s="70">
        <f t="shared" si="9"/>
        <v>111007.93320000001</v>
      </c>
      <c r="V50" s="213">
        <v>1</v>
      </c>
      <c r="W50" s="70">
        <f t="shared" si="10"/>
        <v>111007.93320000001</v>
      </c>
      <c r="X50" s="213">
        <v>1</v>
      </c>
      <c r="Y50" s="70">
        <f t="shared" si="11"/>
        <v>111007.93320000001</v>
      </c>
      <c r="Z50" s="213">
        <v>1</v>
      </c>
      <c r="AA50" s="70">
        <f t="shared" si="12"/>
        <v>166511.89980000001</v>
      </c>
      <c r="AB50" s="231">
        <f t="shared" si="13"/>
        <v>888063.46560000011</v>
      </c>
    </row>
    <row r="51" spans="3:28" x14ac:dyDescent="0.3">
      <c r="C51" s="139" t="s">
        <v>149</v>
      </c>
      <c r="D51" s="213">
        <v>0</v>
      </c>
      <c r="E51" s="70">
        <f t="shared" si="1"/>
        <v>0</v>
      </c>
      <c r="F51" s="213">
        <v>0</v>
      </c>
      <c r="G51" s="70">
        <f t="shared" si="2"/>
        <v>0</v>
      </c>
      <c r="H51" s="213">
        <v>0</v>
      </c>
      <c r="I51" s="70">
        <f t="shared" si="3"/>
        <v>0</v>
      </c>
      <c r="J51" s="213">
        <v>0</v>
      </c>
      <c r="K51" s="70">
        <f t="shared" si="4"/>
        <v>0</v>
      </c>
      <c r="L51" s="213">
        <v>0</v>
      </c>
      <c r="M51" s="70">
        <f t="shared" si="5"/>
        <v>0</v>
      </c>
      <c r="N51" s="213">
        <v>0</v>
      </c>
      <c r="O51" s="70">
        <f t="shared" si="6"/>
        <v>0</v>
      </c>
      <c r="P51" s="213">
        <v>0</v>
      </c>
      <c r="Q51" s="70">
        <f t="shared" si="7"/>
        <v>0</v>
      </c>
      <c r="R51" s="213">
        <v>0</v>
      </c>
      <c r="S51" s="70">
        <f t="shared" si="8"/>
        <v>0</v>
      </c>
      <c r="T51" s="213">
        <v>0</v>
      </c>
      <c r="U51" s="70">
        <f t="shared" si="9"/>
        <v>0</v>
      </c>
      <c r="V51" s="250">
        <v>1</v>
      </c>
      <c r="W51" s="70">
        <f t="shared" si="10"/>
        <v>64423.0815</v>
      </c>
      <c r="X51" s="213">
        <v>1</v>
      </c>
      <c r="Y51" s="70">
        <f t="shared" si="11"/>
        <v>64423.0815</v>
      </c>
      <c r="Z51" s="213">
        <v>1</v>
      </c>
      <c r="AA51" s="70">
        <f t="shared" si="12"/>
        <v>96634.62225</v>
      </c>
      <c r="AB51" s="231">
        <f t="shared" si="13"/>
        <v>225480.78525000002</v>
      </c>
    </row>
    <row r="52" spans="3:28" x14ac:dyDescent="0.3">
      <c r="C52" s="139" t="s">
        <v>150</v>
      </c>
      <c r="D52" s="213">
        <v>0</v>
      </c>
      <c r="E52" s="70">
        <f t="shared" si="1"/>
        <v>0</v>
      </c>
      <c r="F52" s="250">
        <v>1</v>
      </c>
      <c r="G52" s="70">
        <f t="shared" si="2"/>
        <v>134661.27449999997</v>
      </c>
      <c r="H52" s="213">
        <v>1</v>
      </c>
      <c r="I52" s="70">
        <f t="shared" si="3"/>
        <v>134661.27449999997</v>
      </c>
      <c r="J52" s="213">
        <v>1</v>
      </c>
      <c r="K52" s="70">
        <f t="shared" si="4"/>
        <v>134661.27449999997</v>
      </c>
      <c r="L52" s="213">
        <v>1</v>
      </c>
      <c r="M52" s="70">
        <f t="shared" si="5"/>
        <v>134661.27449999997</v>
      </c>
      <c r="N52" s="213">
        <v>1</v>
      </c>
      <c r="O52" s="70">
        <f t="shared" si="6"/>
        <v>201991.91174999997</v>
      </c>
      <c r="P52" s="213">
        <v>1</v>
      </c>
      <c r="Q52" s="70">
        <f t="shared" si="7"/>
        <v>134661.27449999997</v>
      </c>
      <c r="R52" s="213">
        <v>1</v>
      </c>
      <c r="S52" s="70">
        <f t="shared" si="8"/>
        <v>134661.27449999997</v>
      </c>
      <c r="T52" s="213">
        <v>1</v>
      </c>
      <c r="U52" s="70">
        <f t="shared" si="9"/>
        <v>134661.27449999997</v>
      </c>
      <c r="V52" s="213">
        <v>1</v>
      </c>
      <c r="W52" s="70">
        <f t="shared" si="10"/>
        <v>134661.27449999997</v>
      </c>
      <c r="X52" s="213">
        <v>1</v>
      </c>
      <c r="Y52" s="70">
        <f t="shared" si="11"/>
        <v>134661.27449999997</v>
      </c>
      <c r="Z52" s="213">
        <v>1</v>
      </c>
      <c r="AA52" s="70">
        <f t="shared" si="12"/>
        <v>201991.91174999997</v>
      </c>
      <c r="AB52" s="231">
        <f t="shared" si="13"/>
        <v>1615935.2939999998</v>
      </c>
    </row>
    <row r="53" spans="3:28" x14ac:dyDescent="0.3">
      <c r="C53" s="139" t="s">
        <v>152</v>
      </c>
      <c r="D53" s="213">
        <v>0</v>
      </c>
      <c r="E53" s="70">
        <f t="shared" si="1"/>
        <v>0</v>
      </c>
      <c r="F53" s="213">
        <v>0</v>
      </c>
      <c r="G53" s="70">
        <f t="shared" si="2"/>
        <v>0</v>
      </c>
      <c r="H53" s="213">
        <v>0</v>
      </c>
      <c r="I53" s="70">
        <f t="shared" si="3"/>
        <v>0</v>
      </c>
      <c r="J53" s="250">
        <v>1</v>
      </c>
      <c r="K53" s="70">
        <f t="shared" si="4"/>
        <v>111007.93320000001</v>
      </c>
      <c r="L53" s="213">
        <v>1</v>
      </c>
      <c r="M53" s="70">
        <f t="shared" si="5"/>
        <v>111007.93320000001</v>
      </c>
      <c r="N53" s="213">
        <v>1</v>
      </c>
      <c r="O53" s="70">
        <f t="shared" si="6"/>
        <v>166511.89980000001</v>
      </c>
      <c r="P53" s="213">
        <v>1</v>
      </c>
      <c r="Q53" s="70">
        <f t="shared" si="7"/>
        <v>111007.93320000001</v>
      </c>
      <c r="R53" s="213">
        <v>1</v>
      </c>
      <c r="S53" s="70">
        <f t="shared" si="8"/>
        <v>111007.93320000001</v>
      </c>
      <c r="T53" s="213">
        <v>1</v>
      </c>
      <c r="U53" s="70">
        <f t="shared" si="9"/>
        <v>111007.93320000001</v>
      </c>
      <c r="V53" s="213">
        <v>1</v>
      </c>
      <c r="W53" s="70">
        <f t="shared" si="10"/>
        <v>111007.93320000001</v>
      </c>
      <c r="X53" s="213">
        <v>1</v>
      </c>
      <c r="Y53" s="70">
        <f t="shared" si="11"/>
        <v>111007.93320000001</v>
      </c>
      <c r="Z53" s="213">
        <v>1</v>
      </c>
      <c r="AA53" s="70">
        <f t="shared" si="12"/>
        <v>166511.89980000001</v>
      </c>
      <c r="AB53" s="231">
        <f t="shared" si="13"/>
        <v>1110079.3319999999</v>
      </c>
    </row>
    <row r="54" spans="3:28" x14ac:dyDescent="0.3">
      <c r="C54" s="139" t="s">
        <v>151</v>
      </c>
      <c r="D54" s="213">
        <v>0</v>
      </c>
      <c r="E54" s="70">
        <f t="shared" si="1"/>
        <v>0</v>
      </c>
      <c r="F54" s="213">
        <v>0</v>
      </c>
      <c r="G54" s="70">
        <f t="shared" si="2"/>
        <v>0</v>
      </c>
      <c r="H54" s="250">
        <v>1</v>
      </c>
      <c r="I54" s="70">
        <f t="shared" si="3"/>
        <v>134661.27449999997</v>
      </c>
      <c r="J54" s="213">
        <v>1</v>
      </c>
      <c r="K54" s="70">
        <f t="shared" si="4"/>
        <v>134661.27449999997</v>
      </c>
      <c r="L54" s="213">
        <v>1</v>
      </c>
      <c r="M54" s="70">
        <f t="shared" si="5"/>
        <v>134661.27449999997</v>
      </c>
      <c r="N54" s="213">
        <v>1</v>
      </c>
      <c r="O54" s="70">
        <f t="shared" si="6"/>
        <v>201991.91174999997</v>
      </c>
      <c r="P54" s="213">
        <v>1</v>
      </c>
      <c r="Q54" s="70">
        <f t="shared" si="7"/>
        <v>134661.27449999997</v>
      </c>
      <c r="R54" s="213">
        <v>1</v>
      </c>
      <c r="S54" s="70">
        <f t="shared" si="8"/>
        <v>134661.27449999997</v>
      </c>
      <c r="T54" s="213">
        <v>1</v>
      </c>
      <c r="U54" s="70">
        <f t="shared" si="9"/>
        <v>134661.27449999997</v>
      </c>
      <c r="V54" s="213">
        <v>1</v>
      </c>
      <c r="W54" s="70">
        <f t="shared" si="10"/>
        <v>134661.27449999997</v>
      </c>
      <c r="X54" s="213">
        <v>1</v>
      </c>
      <c r="Y54" s="70">
        <f t="shared" si="11"/>
        <v>134661.27449999997</v>
      </c>
      <c r="Z54" s="213">
        <v>1</v>
      </c>
      <c r="AA54" s="70">
        <f t="shared" si="12"/>
        <v>201991.91174999997</v>
      </c>
      <c r="AB54" s="231">
        <f t="shared" si="13"/>
        <v>1481274.0194999997</v>
      </c>
    </row>
    <row r="55" spans="3:28" x14ac:dyDescent="0.3">
      <c r="C55" s="139" t="s">
        <v>153</v>
      </c>
      <c r="D55" s="213">
        <v>0</v>
      </c>
      <c r="E55" s="70">
        <f t="shared" si="1"/>
        <v>0</v>
      </c>
      <c r="F55" s="213">
        <v>0</v>
      </c>
      <c r="G55" s="70">
        <f t="shared" si="2"/>
        <v>0</v>
      </c>
      <c r="H55" s="213">
        <v>0</v>
      </c>
      <c r="I55" s="70">
        <f t="shared" si="3"/>
        <v>0</v>
      </c>
      <c r="J55" s="213">
        <v>0</v>
      </c>
      <c r="K55" s="70">
        <f t="shared" si="4"/>
        <v>0</v>
      </c>
      <c r="L55" s="213">
        <v>0</v>
      </c>
      <c r="M55" s="70">
        <f t="shared" si="5"/>
        <v>0</v>
      </c>
      <c r="N55" s="213">
        <v>0</v>
      </c>
      <c r="O55" s="70">
        <f t="shared" si="6"/>
        <v>0</v>
      </c>
      <c r="P55" s="250">
        <v>1</v>
      </c>
      <c r="Q55" s="70">
        <f t="shared" si="7"/>
        <v>94473.698099999994</v>
      </c>
      <c r="R55" s="213">
        <v>1</v>
      </c>
      <c r="S55" s="70">
        <f t="shared" si="8"/>
        <v>94473.698099999994</v>
      </c>
      <c r="T55" s="213">
        <v>1</v>
      </c>
      <c r="U55" s="70">
        <f t="shared" si="9"/>
        <v>94473.698099999994</v>
      </c>
      <c r="V55" s="213">
        <v>1</v>
      </c>
      <c r="W55" s="70">
        <f t="shared" si="10"/>
        <v>94473.698099999994</v>
      </c>
      <c r="X55" s="213">
        <v>1</v>
      </c>
      <c r="Y55" s="70">
        <f t="shared" si="11"/>
        <v>94473.698099999994</v>
      </c>
      <c r="Z55" s="213">
        <v>1</v>
      </c>
      <c r="AA55" s="70">
        <f t="shared" si="12"/>
        <v>141710.54715</v>
      </c>
      <c r="AB55" s="231">
        <f t="shared" si="13"/>
        <v>614079.03764999995</v>
      </c>
    </row>
    <row r="56" spans="3:28" x14ac:dyDescent="0.3">
      <c r="C56" s="139" t="s">
        <v>160</v>
      </c>
      <c r="D56" s="213">
        <v>0</v>
      </c>
      <c r="E56" s="70">
        <f t="shared" si="1"/>
        <v>0</v>
      </c>
      <c r="F56" s="213">
        <v>0</v>
      </c>
      <c r="G56" s="70">
        <f t="shared" si="2"/>
        <v>0</v>
      </c>
      <c r="H56" s="213">
        <v>0</v>
      </c>
      <c r="I56" s="70">
        <f t="shared" si="3"/>
        <v>0</v>
      </c>
      <c r="J56" s="213">
        <v>0</v>
      </c>
      <c r="K56" s="70">
        <f t="shared" si="4"/>
        <v>0</v>
      </c>
      <c r="L56" s="213">
        <v>0</v>
      </c>
      <c r="M56" s="70">
        <f t="shared" si="5"/>
        <v>0</v>
      </c>
      <c r="N56" s="213">
        <v>0</v>
      </c>
      <c r="O56" s="70">
        <f t="shared" si="6"/>
        <v>0</v>
      </c>
      <c r="P56" s="213">
        <v>0</v>
      </c>
      <c r="Q56" s="70">
        <f t="shared" si="7"/>
        <v>0</v>
      </c>
      <c r="R56" s="213">
        <v>0</v>
      </c>
      <c r="S56" s="70">
        <f t="shared" si="8"/>
        <v>0</v>
      </c>
      <c r="T56" s="213">
        <v>0</v>
      </c>
      <c r="U56" s="70">
        <f t="shared" si="9"/>
        <v>0</v>
      </c>
      <c r="V56" s="213">
        <v>0</v>
      </c>
      <c r="W56" s="70">
        <f t="shared" si="10"/>
        <v>0</v>
      </c>
      <c r="X56" s="213">
        <v>0</v>
      </c>
      <c r="Y56" s="70">
        <f t="shared" si="11"/>
        <v>0</v>
      </c>
      <c r="Z56" s="213">
        <v>0</v>
      </c>
      <c r="AA56" s="70">
        <f t="shared" si="12"/>
        <v>0</v>
      </c>
      <c r="AB56" s="231">
        <f t="shared" si="13"/>
        <v>0</v>
      </c>
    </row>
    <row r="57" spans="3:28" x14ac:dyDescent="0.3">
      <c r="C57" s="139" t="s">
        <v>240</v>
      </c>
      <c r="D57" s="213">
        <v>0</v>
      </c>
      <c r="E57" s="70">
        <f t="shared" si="1"/>
        <v>0</v>
      </c>
      <c r="F57" s="213">
        <v>0</v>
      </c>
      <c r="G57" s="70">
        <f t="shared" si="2"/>
        <v>0</v>
      </c>
      <c r="H57" s="213">
        <v>0</v>
      </c>
      <c r="I57" s="70">
        <f t="shared" si="3"/>
        <v>0</v>
      </c>
      <c r="J57" s="213">
        <v>0</v>
      </c>
      <c r="K57" s="70">
        <f t="shared" si="4"/>
        <v>0</v>
      </c>
      <c r="L57" s="213">
        <v>0</v>
      </c>
      <c r="M57" s="70">
        <f t="shared" si="5"/>
        <v>0</v>
      </c>
      <c r="N57" s="213">
        <v>0</v>
      </c>
      <c r="O57" s="70">
        <f t="shared" si="6"/>
        <v>0</v>
      </c>
      <c r="P57" s="213">
        <v>0</v>
      </c>
      <c r="Q57" s="70">
        <f t="shared" si="7"/>
        <v>0</v>
      </c>
      <c r="R57" s="213">
        <v>0</v>
      </c>
      <c r="S57" s="70">
        <f t="shared" si="8"/>
        <v>0</v>
      </c>
      <c r="T57" s="213">
        <v>0</v>
      </c>
      <c r="U57" s="70">
        <f t="shared" si="9"/>
        <v>0</v>
      </c>
      <c r="V57" s="213">
        <v>0</v>
      </c>
      <c r="W57" s="70">
        <f t="shared" si="10"/>
        <v>0</v>
      </c>
      <c r="X57" s="213">
        <v>0</v>
      </c>
      <c r="Y57" s="70">
        <f t="shared" si="11"/>
        <v>0</v>
      </c>
      <c r="Z57" s="213">
        <v>0</v>
      </c>
      <c r="AA57" s="70">
        <f t="shared" si="12"/>
        <v>0</v>
      </c>
      <c r="AB57" s="231">
        <f t="shared" si="13"/>
        <v>0</v>
      </c>
    </row>
    <row r="58" spans="3:28" x14ac:dyDescent="0.3">
      <c r="C58" s="139" t="s">
        <v>241</v>
      </c>
      <c r="D58" s="213">
        <v>0</v>
      </c>
      <c r="E58" s="70">
        <f t="shared" si="1"/>
        <v>0</v>
      </c>
      <c r="F58" s="213">
        <v>0</v>
      </c>
      <c r="G58" s="70">
        <f t="shared" si="2"/>
        <v>0</v>
      </c>
      <c r="H58" s="213">
        <v>0</v>
      </c>
      <c r="I58" s="70">
        <f t="shared" si="3"/>
        <v>0</v>
      </c>
      <c r="J58" s="213">
        <v>0</v>
      </c>
      <c r="K58" s="70">
        <f t="shared" si="4"/>
        <v>0</v>
      </c>
      <c r="L58" s="213">
        <v>0</v>
      </c>
      <c r="M58" s="70">
        <f t="shared" si="5"/>
        <v>0</v>
      </c>
      <c r="N58" s="213">
        <v>0</v>
      </c>
      <c r="O58" s="70">
        <f t="shared" si="6"/>
        <v>0</v>
      </c>
      <c r="P58" s="213">
        <v>0</v>
      </c>
      <c r="Q58" s="70">
        <f t="shared" si="7"/>
        <v>0</v>
      </c>
      <c r="R58" s="213">
        <v>0</v>
      </c>
      <c r="S58" s="70">
        <f t="shared" si="8"/>
        <v>0</v>
      </c>
      <c r="T58" s="213">
        <v>0</v>
      </c>
      <c r="U58" s="70">
        <f t="shared" si="9"/>
        <v>0</v>
      </c>
      <c r="V58" s="213">
        <v>0</v>
      </c>
      <c r="W58" s="70">
        <f t="shared" si="10"/>
        <v>0</v>
      </c>
      <c r="X58" s="213">
        <v>0</v>
      </c>
      <c r="Y58" s="70">
        <f t="shared" si="11"/>
        <v>0</v>
      </c>
      <c r="Z58" s="213">
        <v>0</v>
      </c>
      <c r="AA58" s="70">
        <f t="shared" si="12"/>
        <v>0</v>
      </c>
      <c r="AB58" s="231">
        <f t="shared" si="13"/>
        <v>0</v>
      </c>
    </row>
    <row r="59" spans="3:28" ht="15" thickBot="1" x14ac:dyDescent="0.35">
      <c r="C59" s="227" t="s">
        <v>244</v>
      </c>
      <c r="D59" s="213">
        <v>10</v>
      </c>
      <c r="E59" s="70">
        <f t="shared" si="1"/>
        <v>577451.6669999999</v>
      </c>
      <c r="F59" s="213">
        <v>10</v>
      </c>
      <c r="G59" s="70">
        <f t="shared" si="2"/>
        <v>577451.6669999999</v>
      </c>
      <c r="H59" s="213">
        <v>10</v>
      </c>
      <c r="I59" s="70">
        <f t="shared" si="3"/>
        <v>577451.6669999999</v>
      </c>
      <c r="J59" s="213">
        <v>10</v>
      </c>
      <c r="K59" s="70">
        <f t="shared" si="4"/>
        <v>577451.6669999999</v>
      </c>
      <c r="L59" s="213">
        <v>10</v>
      </c>
      <c r="M59" s="70">
        <f t="shared" si="5"/>
        <v>577451.6669999999</v>
      </c>
      <c r="N59" s="213">
        <v>10</v>
      </c>
      <c r="O59" s="70">
        <f t="shared" si="6"/>
        <v>866177.50049999985</v>
      </c>
      <c r="P59" s="213">
        <v>10</v>
      </c>
      <c r="Q59" s="70">
        <f t="shared" si="7"/>
        <v>577451.6669999999</v>
      </c>
      <c r="R59" s="213">
        <v>10</v>
      </c>
      <c r="S59" s="70">
        <f t="shared" si="8"/>
        <v>577451.6669999999</v>
      </c>
      <c r="T59" s="213">
        <v>10</v>
      </c>
      <c r="U59" s="70">
        <f t="shared" si="9"/>
        <v>577451.6669999999</v>
      </c>
      <c r="V59" s="213">
        <v>10</v>
      </c>
      <c r="W59" s="70">
        <f t="shared" si="10"/>
        <v>577451.6669999999</v>
      </c>
      <c r="X59" s="213">
        <v>10</v>
      </c>
      <c r="Y59" s="70">
        <f t="shared" si="11"/>
        <v>577451.6669999999</v>
      </c>
      <c r="Z59" s="213">
        <v>10</v>
      </c>
      <c r="AA59" s="70">
        <f t="shared" si="12"/>
        <v>866177.50049999985</v>
      </c>
      <c r="AB59" s="231">
        <f t="shared" si="13"/>
        <v>7506871.6709999973</v>
      </c>
    </row>
    <row r="60" spans="3:28" ht="16.2" thickBot="1" x14ac:dyDescent="0.35">
      <c r="C60" s="248" t="s">
        <v>235</v>
      </c>
      <c r="D60" s="247">
        <f t="shared" ref="D60:AA60" si="14">SUM(D39:D59)</f>
        <v>15</v>
      </c>
      <c r="E60" s="233">
        <f t="shared" si="14"/>
        <v>1614884.5274999999</v>
      </c>
      <c r="F60" s="232">
        <f t="shared" si="14"/>
        <v>16</v>
      </c>
      <c r="G60" s="233">
        <f t="shared" si="14"/>
        <v>1749545.8019999999</v>
      </c>
      <c r="H60" s="232">
        <f t="shared" si="14"/>
        <v>18</v>
      </c>
      <c r="I60" s="233">
        <f t="shared" si="14"/>
        <v>1974391.5588</v>
      </c>
      <c r="J60" s="232">
        <f t="shared" si="14"/>
        <v>19</v>
      </c>
      <c r="K60" s="233">
        <f t="shared" si="14"/>
        <v>2085399.4920000001</v>
      </c>
      <c r="L60" s="232">
        <f t="shared" si="14"/>
        <v>21</v>
      </c>
      <c r="M60" s="233">
        <f t="shared" si="14"/>
        <v>2331068.6997000002</v>
      </c>
      <c r="N60" s="232">
        <f t="shared" si="14"/>
        <v>22</v>
      </c>
      <c r="O60" s="233">
        <f t="shared" si="14"/>
        <v>3663114.9493499994</v>
      </c>
      <c r="P60" s="232">
        <f t="shared" si="14"/>
        <v>23</v>
      </c>
      <c r="Q60" s="233">
        <f t="shared" si="14"/>
        <v>2536550.3310000002</v>
      </c>
      <c r="R60" s="232">
        <f t="shared" si="14"/>
        <v>24</v>
      </c>
      <c r="S60" s="233">
        <f t="shared" si="14"/>
        <v>2600973.4125000006</v>
      </c>
      <c r="T60" s="232">
        <f t="shared" si="14"/>
        <v>25</v>
      </c>
      <c r="U60" s="233">
        <f t="shared" si="14"/>
        <v>2665396.4940000004</v>
      </c>
      <c r="V60" s="232">
        <f t="shared" si="14"/>
        <v>27</v>
      </c>
      <c r="W60" s="233">
        <f t="shared" si="14"/>
        <v>2817035.8056000005</v>
      </c>
      <c r="X60" s="232">
        <f t="shared" si="14"/>
        <v>27</v>
      </c>
      <c r="Y60" s="233">
        <f t="shared" si="14"/>
        <v>2817035.8056000005</v>
      </c>
      <c r="Z60" s="232">
        <f t="shared" si="14"/>
        <v>27</v>
      </c>
      <c r="AA60" s="233">
        <f t="shared" si="14"/>
        <v>4225553.7083999999</v>
      </c>
      <c r="AB60" s="214">
        <f>AA60+Y60+W60+U60+S60+Q60+O60+M60+K60+I60+G60+E60</f>
        <v>31080950.586450003</v>
      </c>
    </row>
    <row r="61" spans="3:28" ht="15" thickBot="1" x14ac:dyDescent="0.35">
      <c r="C61" s="25"/>
      <c r="D61" s="25"/>
      <c r="E61" s="25"/>
      <c r="F61" s="25"/>
      <c r="G61" s="25"/>
      <c r="H61" s="25"/>
      <c r="I61" s="25"/>
      <c r="J61" s="25"/>
      <c r="K61" s="25"/>
      <c r="L61" s="25"/>
      <c r="M61" s="25"/>
      <c r="N61" s="25"/>
      <c r="O61" s="25"/>
      <c r="P61" s="25"/>
      <c r="Q61" s="25"/>
      <c r="R61" s="25"/>
      <c r="S61" s="25"/>
      <c r="T61" s="25"/>
      <c r="U61" s="25"/>
      <c r="V61" s="25"/>
      <c r="W61" s="25"/>
      <c r="X61" s="25"/>
      <c r="Y61" s="25"/>
      <c r="Z61" s="25"/>
      <c r="AA61" s="25"/>
      <c r="AB61" s="25"/>
    </row>
    <row r="62" spans="3:28" ht="26.4" thickBot="1" x14ac:dyDescent="0.55000000000000004">
      <c r="C62" s="841" t="s">
        <v>247</v>
      </c>
      <c r="D62" s="842"/>
      <c r="E62" s="842"/>
      <c r="F62" s="842"/>
      <c r="G62" s="842"/>
      <c r="H62" s="842"/>
      <c r="I62" s="842"/>
      <c r="J62" s="842"/>
      <c r="K62" s="842"/>
      <c r="L62" s="842"/>
      <c r="M62" s="842"/>
      <c r="N62" s="842"/>
      <c r="O62" s="842"/>
      <c r="P62" s="842"/>
      <c r="Q62" s="842"/>
      <c r="R62" s="842"/>
      <c r="S62" s="842"/>
      <c r="T62" s="842"/>
      <c r="U62" s="842"/>
      <c r="V62" s="842"/>
      <c r="W62" s="842"/>
      <c r="X62" s="842"/>
      <c r="Y62" s="842"/>
      <c r="Z62" s="842"/>
      <c r="AA62" s="842"/>
      <c r="AB62" s="843"/>
    </row>
    <row r="63" spans="3:28" ht="15.6" x14ac:dyDescent="0.3">
      <c r="C63" s="847" t="s">
        <v>225</v>
      </c>
      <c r="D63" s="844" t="s">
        <v>28</v>
      </c>
      <c r="E63" s="844"/>
      <c r="F63" s="844" t="s">
        <v>29</v>
      </c>
      <c r="G63" s="844"/>
      <c r="H63" s="844" t="s">
        <v>30</v>
      </c>
      <c r="I63" s="844"/>
      <c r="J63" s="844" t="s">
        <v>31</v>
      </c>
      <c r="K63" s="844"/>
      <c r="L63" s="844" t="s">
        <v>32</v>
      </c>
      <c r="M63" s="844"/>
      <c r="N63" s="844" t="s">
        <v>232</v>
      </c>
      <c r="O63" s="844"/>
      <c r="P63" s="844" t="s">
        <v>34</v>
      </c>
      <c r="Q63" s="844"/>
      <c r="R63" s="844" t="s">
        <v>35</v>
      </c>
      <c r="S63" s="844"/>
      <c r="T63" s="844" t="s">
        <v>36</v>
      </c>
      <c r="U63" s="844"/>
      <c r="V63" s="844" t="s">
        <v>37</v>
      </c>
      <c r="W63" s="844"/>
      <c r="X63" s="844" t="s">
        <v>38</v>
      </c>
      <c r="Y63" s="844"/>
      <c r="Z63" s="844" t="s">
        <v>233</v>
      </c>
      <c r="AA63" s="844"/>
      <c r="AB63" s="845" t="s">
        <v>234</v>
      </c>
    </row>
    <row r="64" spans="3:28" ht="16.2" thickBot="1" x14ac:dyDescent="0.35">
      <c r="C64" s="848"/>
      <c r="D64" s="69" t="s">
        <v>42</v>
      </c>
      <c r="E64" s="69" t="s">
        <v>43</v>
      </c>
      <c r="F64" s="69" t="s">
        <v>42</v>
      </c>
      <c r="G64" s="69" t="s">
        <v>43</v>
      </c>
      <c r="H64" s="69" t="s">
        <v>42</v>
      </c>
      <c r="I64" s="69" t="s">
        <v>43</v>
      </c>
      <c r="J64" s="69" t="s">
        <v>42</v>
      </c>
      <c r="K64" s="69" t="s">
        <v>43</v>
      </c>
      <c r="L64" s="69" t="s">
        <v>42</v>
      </c>
      <c r="M64" s="69" t="s">
        <v>43</v>
      </c>
      <c r="N64" s="69" t="s">
        <v>42</v>
      </c>
      <c r="O64" s="69" t="s">
        <v>43</v>
      </c>
      <c r="P64" s="69" t="s">
        <v>42</v>
      </c>
      <c r="Q64" s="69" t="s">
        <v>43</v>
      </c>
      <c r="R64" s="69" t="s">
        <v>42</v>
      </c>
      <c r="S64" s="69" t="s">
        <v>43</v>
      </c>
      <c r="T64" s="69" t="s">
        <v>42</v>
      </c>
      <c r="U64" s="69" t="s">
        <v>43</v>
      </c>
      <c r="V64" s="69" t="s">
        <v>42</v>
      </c>
      <c r="W64" s="69" t="s">
        <v>43</v>
      </c>
      <c r="X64" s="69" t="s">
        <v>42</v>
      </c>
      <c r="Y64" s="69" t="s">
        <v>43</v>
      </c>
      <c r="Z64" s="69" t="s">
        <v>42</v>
      </c>
      <c r="AA64" s="69" t="s">
        <v>43</v>
      </c>
      <c r="AB64" s="846"/>
    </row>
    <row r="65" spans="3:28" x14ac:dyDescent="0.3">
      <c r="C65" s="143" t="s">
        <v>105</v>
      </c>
      <c r="D65" s="213">
        <v>1</v>
      </c>
      <c r="E65" s="70">
        <f>D65*L13</f>
        <v>306413.95380000002</v>
      </c>
      <c r="F65" s="213">
        <v>1</v>
      </c>
      <c r="G65" s="70">
        <f>F65*L13</f>
        <v>306413.95380000002</v>
      </c>
      <c r="H65" s="213">
        <v>1</v>
      </c>
      <c r="I65" s="70">
        <f>H65*L13</f>
        <v>306413.95380000002</v>
      </c>
      <c r="J65" s="213">
        <v>1</v>
      </c>
      <c r="K65" s="70">
        <f>J65*L13</f>
        <v>306413.95380000002</v>
      </c>
      <c r="L65" s="213">
        <v>1</v>
      </c>
      <c r="M65" s="70">
        <f>L65*L13</f>
        <v>306413.95380000002</v>
      </c>
      <c r="N65" s="213">
        <v>1</v>
      </c>
      <c r="O65" s="70">
        <f>N65*L13*1.5</f>
        <v>459620.93070000003</v>
      </c>
      <c r="P65" s="213">
        <v>1</v>
      </c>
      <c r="Q65" s="70">
        <f>P65*L13</f>
        <v>306413.95380000002</v>
      </c>
      <c r="R65" s="213">
        <v>1</v>
      </c>
      <c r="S65" s="70">
        <f>R65*L13</f>
        <v>306413.95380000002</v>
      </c>
      <c r="T65" s="213">
        <v>1</v>
      </c>
      <c r="U65" s="70">
        <f>T65*L13</f>
        <v>306413.95380000002</v>
      </c>
      <c r="V65" s="213">
        <v>1</v>
      </c>
      <c r="W65" s="70">
        <f>V65*L13</f>
        <v>306413.95380000002</v>
      </c>
      <c r="X65" s="213">
        <v>1</v>
      </c>
      <c r="Y65" s="70">
        <f>X65*L13</f>
        <v>306413.95380000002</v>
      </c>
      <c r="Z65" s="213">
        <v>1</v>
      </c>
      <c r="AA65" s="70">
        <f>Z65*L13*1.5</f>
        <v>459620.93070000003</v>
      </c>
      <c r="AB65" s="231">
        <f>E65+G65+I65+K65+M65+O65+Q65+S65+U65+W65+Y65+AA65</f>
        <v>3983381.3994000009</v>
      </c>
    </row>
    <row r="66" spans="3:28" x14ac:dyDescent="0.3">
      <c r="C66" s="139" t="s">
        <v>106</v>
      </c>
      <c r="D66" s="213">
        <v>1</v>
      </c>
      <c r="E66" s="70">
        <f t="shared" ref="E66:E85" si="15">D66*L14</f>
        <v>242674.84949999998</v>
      </c>
      <c r="F66" s="213">
        <v>1</v>
      </c>
      <c r="G66" s="70">
        <f t="shared" ref="G66:G85" si="16">F66*L14</f>
        <v>242674.84949999998</v>
      </c>
      <c r="H66" s="213">
        <v>1</v>
      </c>
      <c r="I66" s="70">
        <f t="shared" ref="I66:I85" si="17">H66*L14</f>
        <v>242674.84949999998</v>
      </c>
      <c r="J66" s="213">
        <v>1</v>
      </c>
      <c r="K66" s="70">
        <f t="shared" ref="K66:K85" si="18">J66*L14</f>
        <v>242674.84949999998</v>
      </c>
      <c r="L66" s="213">
        <v>1</v>
      </c>
      <c r="M66" s="70">
        <f t="shared" ref="M66:M85" si="19">L66*L14</f>
        <v>242674.84949999998</v>
      </c>
      <c r="N66" s="213">
        <v>1</v>
      </c>
      <c r="O66" s="70">
        <f t="shared" ref="O66:O85" si="20">N66*L14*1.5</f>
        <v>364012.27424999996</v>
      </c>
      <c r="P66" s="213">
        <v>1</v>
      </c>
      <c r="Q66" s="70">
        <f t="shared" ref="Q66:Q85" si="21">P66*L14</f>
        <v>242674.84949999998</v>
      </c>
      <c r="R66" s="213">
        <v>1</v>
      </c>
      <c r="S66" s="70">
        <f t="shared" ref="S66:S85" si="22">R66*L14</f>
        <v>242674.84949999998</v>
      </c>
      <c r="T66" s="213">
        <v>1</v>
      </c>
      <c r="U66" s="70">
        <f t="shared" ref="U66:U85" si="23">T66*L14</f>
        <v>242674.84949999998</v>
      </c>
      <c r="V66" s="213">
        <v>1</v>
      </c>
      <c r="W66" s="70">
        <f t="shared" ref="W66:W85" si="24">V66*L14</f>
        <v>242674.84949999998</v>
      </c>
      <c r="X66" s="213">
        <v>1</v>
      </c>
      <c r="Y66" s="70">
        <f t="shared" ref="Y66:Y85" si="25">X66*L14</f>
        <v>242674.84949999998</v>
      </c>
      <c r="Z66" s="213">
        <v>1</v>
      </c>
      <c r="AA66" s="70">
        <f t="shared" ref="AA66:AA85" si="26">Z66*L14*1.5</f>
        <v>364012.27424999996</v>
      </c>
      <c r="AB66" s="231">
        <f t="shared" ref="AB66:AB85" si="27">E66+G66+I66+K66+M66+O66+Q66+S66+U66+W66+Y66+AA66</f>
        <v>3154773.0434999997</v>
      </c>
    </row>
    <row r="67" spans="3:28" x14ac:dyDescent="0.3">
      <c r="C67" s="139" t="s">
        <v>107</v>
      </c>
      <c r="D67" s="213">
        <v>1</v>
      </c>
      <c r="E67" s="70">
        <f t="shared" si="15"/>
        <v>242674.84949999998</v>
      </c>
      <c r="F67" s="213">
        <v>1</v>
      </c>
      <c r="G67" s="70">
        <f t="shared" si="16"/>
        <v>242674.84949999998</v>
      </c>
      <c r="H67" s="213">
        <v>1</v>
      </c>
      <c r="I67" s="70">
        <f t="shared" si="17"/>
        <v>242674.84949999998</v>
      </c>
      <c r="J67" s="213">
        <v>1</v>
      </c>
      <c r="K67" s="70">
        <f t="shared" si="18"/>
        <v>242674.84949999998</v>
      </c>
      <c r="L67" s="213">
        <v>1</v>
      </c>
      <c r="M67" s="70">
        <f t="shared" si="19"/>
        <v>242674.84949999998</v>
      </c>
      <c r="N67" s="213">
        <v>1</v>
      </c>
      <c r="O67" s="70">
        <f t="shared" si="20"/>
        <v>364012.27424999996</v>
      </c>
      <c r="P67" s="213">
        <v>1</v>
      </c>
      <c r="Q67" s="70">
        <f t="shared" si="21"/>
        <v>242674.84949999998</v>
      </c>
      <c r="R67" s="213">
        <v>1</v>
      </c>
      <c r="S67" s="70">
        <f t="shared" si="22"/>
        <v>242674.84949999998</v>
      </c>
      <c r="T67" s="213">
        <v>1</v>
      </c>
      <c r="U67" s="70">
        <f t="shared" si="23"/>
        <v>242674.84949999998</v>
      </c>
      <c r="V67" s="213">
        <v>1</v>
      </c>
      <c r="W67" s="70">
        <f t="shared" si="24"/>
        <v>242674.84949999998</v>
      </c>
      <c r="X67" s="213">
        <v>1</v>
      </c>
      <c r="Y67" s="70">
        <f t="shared" si="25"/>
        <v>242674.84949999998</v>
      </c>
      <c r="Z67" s="213">
        <v>1</v>
      </c>
      <c r="AA67" s="70">
        <f t="shared" si="26"/>
        <v>364012.27424999996</v>
      </c>
      <c r="AB67" s="231">
        <f t="shared" si="27"/>
        <v>3154773.0434999997</v>
      </c>
    </row>
    <row r="68" spans="3:28" x14ac:dyDescent="0.3">
      <c r="C68" s="139" t="s">
        <v>108</v>
      </c>
      <c r="D68" s="213">
        <v>1</v>
      </c>
      <c r="E68" s="70">
        <f t="shared" si="15"/>
        <v>134661.27449999997</v>
      </c>
      <c r="F68" s="213">
        <v>1</v>
      </c>
      <c r="G68" s="70">
        <f t="shared" si="16"/>
        <v>134661.27449999997</v>
      </c>
      <c r="H68" s="213">
        <v>1</v>
      </c>
      <c r="I68" s="70">
        <f t="shared" si="17"/>
        <v>134661.27449999997</v>
      </c>
      <c r="J68" s="213">
        <v>1</v>
      </c>
      <c r="K68" s="70">
        <f t="shared" si="18"/>
        <v>134661.27449999997</v>
      </c>
      <c r="L68" s="213">
        <v>1</v>
      </c>
      <c r="M68" s="70">
        <f t="shared" si="19"/>
        <v>134661.27449999997</v>
      </c>
      <c r="N68" s="213">
        <v>1</v>
      </c>
      <c r="O68" s="70">
        <f t="shared" si="20"/>
        <v>201991.91174999997</v>
      </c>
      <c r="P68" s="213">
        <v>1</v>
      </c>
      <c r="Q68" s="70">
        <f t="shared" si="21"/>
        <v>134661.27449999997</v>
      </c>
      <c r="R68" s="213">
        <v>1</v>
      </c>
      <c r="S68" s="70">
        <f t="shared" si="22"/>
        <v>134661.27449999997</v>
      </c>
      <c r="T68" s="213">
        <v>1</v>
      </c>
      <c r="U68" s="70">
        <f t="shared" si="23"/>
        <v>134661.27449999997</v>
      </c>
      <c r="V68" s="213">
        <v>1</v>
      </c>
      <c r="W68" s="70">
        <f t="shared" si="24"/>
        <v>134661.27449999997</v>
      </c>
      <c r="X68" s="213">
        <v>1</v>
      </c>
      <c r="Y68" s="70">
        <f t="shared" si="25"/>
        <v>134661.27449999997</v>
      </c>
      <c r="Z68" s="213">
        <v>1</v>
      </c>
      <c r="AA68" s="70">
        <f t="shared" si="26"/>
        <v>201991.91174999997</v>
      </c>
      <c r="AB68" s="231">
        <f t="shared" si="27"/>
        <v>1750596.5684999998</v>
      </c>
    </row>
    <row r="69" spans="3:28" x14ac:dyDescent="0.3">
      <c r="C69" s="139" t="s">
        <v>114</v>
      </c>
      <c r="D69" s="213">
        <v>1</v>
      </c>
      <c r="E69" s="70">
        <f t="shared" si="15"/>
        <v>134661.27449999997</v>
      </c>
      <c r="F69" s="213">
        <v>1</v>
      </c>
      <c r="G69" s="70">
        <f t="shared" si="16"/>
        <v>134661.27449999997</v>
      </c>
      <c r="H69" s="213">
        <v>1</v>
      </c>
      <c r="I69" s="70">
        <f t="shared" si="17"/>
        <v>134661.27449999997</v>
      </c>
      <c r="J69" s="213">
        <v>1</v>
      </c>
      <c r="K69" s="70">
        <f t="shared" si="18"/>
        <v>134661.27449999997</v>
      </c>
      <c r="L69" s="213">
        <v>1</v>
      </c>
      <c r="M69" s="70">
        <f t="shared" si="19"/>
        <v>134661.27449999997</v>
      </c>
      <c r="N69" s="213">
        <v>1</v>
      </c>
      <c r="O69" s="70">
        <f t="shared" si="20"/>
        <v>201991.91174999997</v>
      </c>
      <c r="P69" s="213">
        <v>1</v>
      </c>
      <c r="Q69" s="70">
        <f t="shared" si="21"/>
        <v>134661.27449999997</v>
      </c>
      <c r="R69" s="213">
        <v>1</v>
      </c>
      <c r="S69" s="70">
        <f t="shared" si="22"/>
        <v>134661.27449999997</v>
      </c>
      <c r="T69" s="213">
        <v>1</v>
      </c>
      <c r="U69" s="70">
        <f t="shared" si="23"/>
        <v>134661.27449999997</v>
      </c>
      <c r="V69" s="213">
        <v>1</v>
      </c>
      <c r="W69" s="70">
        <f t="shared" si="24"/>
        <v>134661.27449999997</v>
      </c>
      <c r="X69" s="213">
        <v>1</v>
      </c>
      <c r="Y69" s="70">
        <f t="shared" si="25"/>
        <v>134661.27449999997</v>
      </c>
      <c r="Z69" s="213">
        <v>1</v>
      </c>
      <c r="AA69" s="70">
        <f t="shared" si="26"/>
        <v>201991.91174999997</v>
      </c>
      <c r="AB69" s="231">
        <f t="shared" si="27"/>
        <v>1750596.5684999998</v>
      </c>
    </row>
    <row r="70" spans="3:28" x14ac:dyDescent="0.3">
      <c r="C70" s="139" t="s">
        <v>142</v>
      </c>
      <c r="D70" s="213">
        <v>1</v>
      </c>
      <c r="E70" s="70">
        <f t="shared" si="15"/>
        <v>87216.230100000001</v>
      </c>
      <c r="F70" s="213">
        <v>1</v>
      </c>
      <c r="G70" s="70">
        <f t="shared" si="16"/>
        <v>87216.230100000001</v>
      </c>
      <c r="H70" s="213">
        <v>1</v>
      </c>
      <c r="I70" s="70">
        <f t="shared" si="17"/>
        <v>87216.230100000001</v>
      </c>
      <c r="J70" s="213">
        <v>1</v>
      </c>
      <c r="K70" s="70">
        <f t="shared" si="18"/>
        <v>87216.230100000001</v>
      </c>
      <c r="L70" s="213">
        <v>1</v>
      </c>
      <c r="M70" s="70">
        <f t="shared" si="19"/>
        <v>87216.230100000001</v>
      </c>
      <c r="N70" s="213">
        <v>1</v>
      </c>
      <c r="O70" s="70">
        <f t="shared" si="20"/>
        <v>130824.34515000001</v>
      </c>
      <c r="P70" s="213">
        <v>1</v>
      </c>
      <c r="Q70" s="70">
        <f t="shared" si="21"/>
        <v>87216.230100000001</v>
      </c>
      <c r="R70" s="213">
        <v>1</v>
      </c>
      <c r="S70" s="70">
        <f t="shared" si="22"/>
        <v>87216.230100000001</v>
      </c>
      <c r="T70" s="213">
        <v>1</v>
      </c>
      <c r="U70" s="70">
        <f t="shared" si="23"/>
        <v>87216.230100000001</v>
      </c>
      <c r="V70" s="250">
        <v>3</v>
      </c>
      <c r="W70" s="70">
        <f t="shared" si="24"/>
        <v>261648.69030000002</v>
      </c>
      <c r="X70" s="213">
        <v>3</v>
      </c>
      <c r="Y70" s="70">
        <f t="shared" si="25"/>
        <v>261648.69030000002</v>
      </c>
      <c r="Z70" s="213">
        <v>3</v>
      </c>
      <c r="AA70" s="70">
        <f t="shared" si="26"/>
        <v>392473.03545000002</v>
      </c>
      <c r="AB70" s="231">
        <f t="shared" si="27"/>
        <v>1744324.6020000002</v>
      </c>
    </row>
    <row r="71" spans="3:28" x14ac:dyDescent="0.3">
      <c r="C71" s="139" t="s">
        <v>143</v>
      </c>
      <c r="D71" s="213">
        <v>1</v>
      </c>
      <c r="E71" s="70">
        <f t="shared" si="15"/>
        <v>111007.93320000001</v>
      </c>
      <c r="F71" s="213">
        <v>1</v>
      </c>
      <c r="G71" s="70">
        <f t="shared" si="16"/>
        <v>111007.93320000001</v>
      </c>
      <c r="H71" s="213">
        <v>1</v>
      </c>
      <c r="I71" s="70">
        <f t="shared" si="17"/>
        <v>111007.93320000001</v>
      </c>
      <c r="J71" s="213">
        <v>1</v>
      </c>
      <c r="K71" s="70">
        <f t="shared" si="18"/>
        <v>111007.93320000001</v>
      </c>
      <c r="L71" s="213">
        <v>1</v>
      </c>
      <c r="M71" s="70">
        <f t="shared" si="19"/>
        <v>111007.93320000001</v>
      </c>
      <c r="N71" s="213">
        <v>1</v>
      </c>
      <c r="O71" s="70">
        <f t="shared" si="20"/>
        <v>166511.89980000001</v>
      </c>
      <c r="P71" s="213">
        <v>1</v>
      </c>
      <c r="Q71" s="70">
        <f t="shared" si="21"/>
        <v>111007.93320000001</v>
      </c>
      <c r="R71" s="213">
        <v>1</v>
      </c>
      <c r="S71" s="70">
        <f t="shared" si="22"/>
        <v>111007.93320000001</v>
      </c>
      <c r="T71" s="213">
        <v>1</v>
      </c>
      <c r="U71" s="70">
        <f t="shared" si="23"/>
        <v>111007.93320000001</v>
      </c>
      <c r="V71" s="213">
        <v>1</v>
      </c>
      <c r="W71" s="70">
        <f t="shared" si="24"/>
        <v>111007.93320000001</v>
      </c>
      <c r="X71" s="213">
        <v>1</v>
      </c>
      <c r="Y71" s="70">
        <f t="shared" si="25"/>
        <v>111007.93320000001</v>
      </c>
      <c r="Z71" s="213">
        <v>1</v>
      </c>
      <c r="AA71" s="70">
        <f t="shared" si="26"/>
        <v>166511.89980000001</v>
      </c>
      <c r="AB71" s="231">
        <f t="shared" si="27"/>
        <v>1443103.1316000002</v>
      </c>
    </row>
    <row r="72" spans="3:28" x14ac:dyDescent="0.3">
      <c r="C72" s="139" t="s">
        <v>144</v>
      </c>
      <c r="D72" s="213">
        <v>1</v>
      </c>
      <c r="E72" s="70">
        <f t="shared" si="15"/>
        <v>64423.0815</v>
      </c>
      <c r="F72" s="213">
        <v>1</v>
      </c>
      <c r="G72" s="70">
        <f t="shared" si="16"/>
        <v>64423.0815</v>
      </c>
      <c r="H72" s="213">
        <v>1</v>
      </c>
      <c r="I72" s="70">
        <f t="shared" si="17"/>
        <v>64423.0815</v>
      </c>
      <c r="J72" s="213">
        <v>1</v>
      </c>
      <c r="K72" s="70">
        <f t="shared" si="18"/>
        <v>64423.0815</v>
      </c>
      <c r="L72" s="213">
        <v>1</v>
      </c>
      <c r="M72" s="70">
        <f t="shared" si="19"/>
        <v>64423.0815</v>
      </c>
      <c r="N72" s="213">
        <v>1</v>
      </c>
      <c r="O72" s="70">
        <f t="shared" si="20"/>
        <v>96634.62225</v>
      </c>
      <c r="P72" s="213">
        <v>1</v>
      </c>
      <c r="Q72" s="70">
        <f t="shared" si="21"/>
        <v>64423.0815</v>
      </c>
      <c r="R72" s="250">
        <v>3</v>
      </c>
      <c r="S72" s="70">
        <f t="shared" si="22"/>
        <v>193269.2445</v>
      </c>
      <c r="T72" s="213">
        <v>3</v>
      </c>
      <c r="U72" s="70">
        <f t="shared" si="23"/>
        <v>193269.2445</v>
      </c>
      <c r="V72" s="213">
        <v>3</v>
      </c>
      <c r="W72" s="70">
        <f t="shared" si="24"/>
        <v>193269.2445</v>
      </c>
      <c r="X72" s="213">
        <v>3</v>
      </c>
      <c r="Y72" s="70">
        <f t="shared" si="25"/>
        <v>193269.2445</v>
      </c>
      <c r="Z72" s="213">
        <v>3</v>
      </c>
      <c r="AA72" s="70">
        <f t="shared" si="26"/>
        <v>289903.86674999999</v>
      </c>
      <c r="AB72" s="231">
        <f t="shared" si="27"/>
        <v>1546153.956</v>
      </c>
    </row>
    <row r="73" spans="3:28" x14ac:dyDescent="0.3">
      <c r="C73" s="139" t="s">
        <v>145</v>
      </c>
      <c r="D73" s="213">
        <v>1</v>
      </c>
      <c r="E73" s="70">
        <f t="shared" si="15"/>
        <v>64423.0815</v>
      </c>
      <c r="F73" s="213">
        <v>1</v>
      </c>
      <c r="G73" s="70">
        <f t="shared" si="16"/>
        <v>64423.0815</v>
      </c>
      <c r="H73" s="213">
        <v>1</v>
      </c>
      <c r="I73" s="70">
        <f t="shared" si="17"/>
        <v>64423.0815</v>
      </c>
      <c r="J73" s="213">
        <v>1</v>
      </c>
      <c r="K73" s="70">
        <f t="shared" si="18"/>
        <v>64423.0815</v>
      </c>
      <c r="L73" s="213">
        <v>1</v>
      </c>
      <c r="M73" s="70">
        <f t="shared" si="19"/>
        <v>64423.0815</v>
      </c>
      <c r="N73" s="213">
        <v>1</v>
      </c>
      <c r="O73" s="70">
        <f t="shared" si="20"/>
        <v>96634.62225</v>
      </c>
      <c r="P73" s="213">
        <v>1</v>
      </c>
      <c r="Q73" s="70">
        <f t="shared" si="21"/>
        <v>64423.0815</v>
      </c>
      <c r="R73" s="213">
        <v>1</v>
      </c>
      <c r="S73" s="70">
        <f t="shared" si="22"/>
        <v>64423.0815</v>
      </c>
      <c r="T73" s="250">
        <v>2</v>
      </c>
      <c r="U73" s="70">
        <f t="shared" si="23"/>
        <v>128846.163</v>
      </c>
      <c r="V73" s="213">
        <v>2</v>
      </c>
      <c r="W73" s="70">
        <f t="shared" si="24"/>
        <v>128846.163</v>
      </c>
      <c r="X73" s="213">
        <v>2</v>
      </c>
      <c r="Y73" s="70">
        <f t="shared" si="25"/>
        <v>128846.163</v>
      </c>
      <c r="Z73" s="213">
        <v>2</v>
      </c>
      <c r="AA73" s="70">
        <f t="shared" si="26"/>
        <v>193269.2445</v>
      </c>
      <c r="AB73" s="231">
        <f t="shared" si="27"/>
        <v>1127403.9262499998</v>
      </c>
    </row>
    <row r="74" spans="3:28" x14ac:dyDescent="0.3">
      <c r="C74" s="139" t="s">
        <v>146</v>
      </c>
      <c r="D74" s="213">
        <v>1</v>
      </c>
      <c r="E74" s="70">
        <f t="shared" si="15"/>
        <v>111007.93320000001</v>
      </c>
      <c r="F74" s="213">
        <v>1</v>
      </c>
      <c r="G74" s="70">
        <f t="shared" si="16"/>
        <v>111007.93320000001</v>
      </c>
      <c r="H74" s="213">
        <v>1</v>
      </c>
      <c r="I74" s="70">
        <f t="shared" si="17"/>
        <v>111007.93320000001</v>
      </c>
      <c r="J74" s="213">
        <v>1</v>
      </c>
      <c r="K74" s="70">
        <f t="shared" si="18"/>
        <v>111007.93320000001</v>
      </c>
      <c r="L74" s="213">
        <v>1</v>
      </c>
      <c r="M74" s="70">
        <f t="shared" si="19"/>
        <v>111007.93320000001</v>
      </c>
      <c r="N74" s="213">
        <v>1</v>
      </c>
      <c r="O74" s="70">
        <f t="shared" si="20"/>
        <v>166511.89980000001</v>
      </c>
      <c r="P74" s="213">
        <v>1</v>
      </c>
      <c r="Q74" s="70">
        <f t="shared" si="21"/>
        <v>111007.93320000001</v>
      </c>
      <c r="R74" s="213">
        <v>1</v>
      </c>
      <c r="S74" s="70">
        <f t="shared" si="22"/>
        <v>111007.93320000001</v>
      </c>
      <c r="T74" s="213">
        <v>1</v>
      </c>
      <c r="U74" s="70">
        <f t="shared" si="23"/>
        <v>111007.93320000001</v>
      </c>
      <c r="V74" s="213">
        <v>1</v>
      </c>
      <c r="W74" s="70">
        <f t="shared" si="24"/>
        <v>111007.93320000001</v>
      </c>
      <c r="X74" s="213">
        <v>1</v>
      </c>
      <c r="Y74" s="70">
        <f t="shared" si="25"/>
        <v>111007.93320000001</v>
      </c>
      <c r="Z74" s="213">
        <v>1</v>
      </c>
      <c r="AA74" s="70">
        <f t="shared" si="26"/>
        <v>166511.89980000001</v>
      </c>
      <c r="AB74" s="231">
        <f t="shared" si="27"/>
        <v>1443103.1316000002</v>
      </c>
    </row>
    <row r="75" spans="3:28" x14ac:dyDescent="0.3">
      <c r="C75" s="139" t="s">
        <v>147</v>
      </c>
      <c r="D75" s="213">
        <v>1</v>
      </c>
      <c r="E75" s="70">
        <f t="shared" si="15"/>
        <v>90184.482300000018</v>
      </c>
      <c r="F75" s="213">
        <v>1</v>
      </c>
      <c r="G75" s="70">
        <f t="shared" si="16"/>
        <v>90184.482300000018</v>
      </c>
      <c r="H75" s="213">
        <v>1</v>
      </c>
      <c r="I75" s="70">
        <f t="shared" si="17"/>
        <v>90184.482300000018</v>
      </c>
      <c r="J75" s="213">
        <v>1</v>
      </c>
      <c r="K75" s="70">
        <f t="shared" si="18"/>
        <v>90184.482300000018</v>
      </c>
      <c r="L75" s="213">
        <v>1</v>
      </c>
      <c r="M75" s="70">
        <f t="shared" si="19"/>
        <v>90184.482300000018</v>
      </c>
      <c r="N75" s="213">
        <v>1</v>
      </c>
      <c r="O75" s="70">
        <f t="shared" si="20"/>
        <v>135276.72345000002</v>
      </c>
      <c r="P75" s="213">
        <v>1</v>
      </c>
      <c r="Q75" s="70">
        <f t="shared" si="21"/>
        <v>90184.482300000018</v>
      </c>
      <c r="R75" s="213">
        <v>1</v>
      </c>
      <c r="S75" s="70">
        <f t="shared" si="22"/>
        <v>90184.482300000018</v>
      </c>
      <c r="T75" s="213">
        <v>1</v>
      </c>
      <c r="U75" s="70">
        <f t="shared" si="23"/>
        <v>90184.482300000018</v>
      </c>
      <c r="V75" s="213">
        <v>1</v>
      </c>
      <c r="W75" s="70">
        <f t="shared" si="24"/>
        <v>90184.482300000018</v>
      </c>
      <c r="X75" s="213">
        <v>1</v>
      </c>
      <c r="Y75" s="70">
        <f t="shared" si="25"/>
        <v>90184.482300000018</v>
      </c>
      <c r="Z75" s="213">
        <v>1</v>
      </c>
      <c r="AA75" s="70">
        <f t="shared" si="26"/>
        <v>135276.72345000002</v>
      </c>
      <c r="AB75" s="231">
        <f t="shared" si="27"/>
        <v>1172398.2699000002</v>
      </c>
    </row>
    <row r="76" spans="3:28" x14ac:dyDescent="0.3">
      <c r="C76" s="139" t="s">
        <v>148</v>
      </c>
      <c r="D76" s="213">
        <v>1</v>
      </c>
      <c r="E76" s="70">
        <f t="shared" si="15"/>
        <v>111007.93320000001</v>
      </c>
      <c r="F76" s="213">
        <v>1</v>
      </c>
      <c r="G76" s="70">
        <f t="shared" si="16"/>
        <v>111007.93320000001</v>
      </c>
      <c r="H76" s="213">
        <v>1</v>
      </c>
      <c r="I76" s="70">
        <f t="shared" si="17"/>
        <v>111007.93320000001</v>
      </c>
      <c r="J76" s="213">
        <v>1</v>
      </c>
      <c r="K76" s="70">
        <f t="shared" si="18"/>
        <v>111007.93320000001</v>
      </c>
      <c r="L76" s="213">
        <v>1</v>
      </c>
      <c r="M76" s="70">
        <f t="shared" si="19"/>
        <v>111007.93320000001</v>
      </c>
      <c r="N76" s="213">
        <v>1</v>
      </c>
      <c r="O76" s="70">
        <f t="shared" si="20"/>
        <v>166511.89980000001</v>
      </c>
      <c r="P76" s="213">
        <v>1</v>
      </c>
      <c r="Q76" s="70">
        <f t="shared" si="21"/>
        <v>111007.93320000001</v>
      </c>
      <c r="R76" s="213">
        <v>1</v>
      </c>
      <c r="S76" s="70">
        <f t="shared" si="22"/>
        <v>111007.93320000001</v>
      </c>
      <c r="T76" s="213">
        <v>1</v>
      </c>
      <c r="U76" s="70">
        <f t="shared" si="23"/>
        <v>111007.93320000001</v>
      </c>
      <c r="V76" s="213">
        <v>1</v>
      </c>
      <c r="W76" s="70">
        <f t="shared" si="24"/>
        <v>111007.93320000001</v>
      </c>
      <c r="X76" s="213">
        <v>1</v>
      </c>
      <c r="Y76" s="70">
        <f t="shared" si="25"/>
        <v>111007.93320000001</v>
      </c>
      <c r="Z76" s="213">
        <v>1</v>
      </c>
      <c r="AA76" s="70">
        <f t="shared" si="26"/>
        <v>166511.89980000001</v>
      </c>
      <c r="AB76" s="231">
        <f t="shared" si="27"/>
        <v>1443103.1316000002</v>
      </c>
    </row>
    <row r="77" spans="3:28" x14ac:dyDescent="0.3">
      <c r="C77" s="139" t="s">
        <v>149</v>
      </c>
      <c r="D77" s="213">
        <v>1</v>
      </c>
      <c r="E77" s="70">
        <f t="shared" si="15"/>
        <v>64423.0815</v>
      </c>
      <c r="F77" s="213">
        <v>1</v>
      </c>
      <c r="G77" s="70">
        <f t="shared" si="16"/>
        <v>64423.0815</v>
      </c>
      <c r="H77" s="213">
        <v>1</v>
      </c>
      <c r="I77" s="70">
        <f t="shared" si="17"/>
        <v>64423.0815</v>
      </c>
      <c r="J77" s="213">
        <v>1</v>
      </c>
      <c r="K77" s="70">
        <f t="shared" si="18"/>
        <v>64423.0815</v>
      </c>
      <c r="L77" s="213">
        <v>1</v>
      </c>
      <c r="M77" s="70">
        <f t="shared" si="19"/>
        <v>64423.0815</v>
      </c>
      <c r="N77" s="213">
        <v>1</v>
      </c>
      <c r="O77" s="70">
        <f t="shared" si="20"/>
        <v>96634.62225</v>
      </c>
      <c r="P77" s="213">
        <v>1</v>
      </c>
      <c r="Q77" s="70">
        <f t="shared" si="21"/>
        <v>64423.0815</v>
      </c>
      <c r="R77" s="213">
        <v>1</v>
      </c>
      <c r="S77" s="70">
        <f t="shared" si="22"/>
        <v>64423.0815</v>
      </c>
      <c r="T77" s="213">
        <v>1</v>
      </c>
      <c r="U77" s="70">
        <f t="shared" si="23"/>
        <v>64423.0815</v>
      </c>
      <c r="V77" s="250">
        <v>3</v>
      </c>
      <c r="W77" s="70">
        <f t="shared" si="24"/>
        <v>193269.2445</v>
      </c>
      <c r="X77" s="213">
        <v>3</v>
      </c>
      <c r="Y77" s="70">
        <f t="shared" si="25"/>
        <v>193269.2445</v>
      </c>
      <c r="Z77" s="213">
        <v>3</v>
      </c>
      <c r="AA77" s="70">
        <f t="shared" si="26"/>
        <v>289903.86674999999</v>
      </c>
      <c r="AB77" s="231">
        <f t="shared" si="27"/>
        <v>1288461.6299999999</v>
      </c>
    </row>
    <row r="78" spans="3:28" x14ac:dyDescent="0.3">
      <c r="C78" s="139" t="s">
        <v>150</v>
      </c>
      <c r="D78" s="213">
        <v>1</v>
      </c>
      <c r="E78" s="70">
        <f t="shared" si="15"/>
        <v>134661.27449999997</v>
      </c>
      <c r="F78" s="213">
        <v>1</v>
      </c>
      <c r="G78" s="70">
        <f t="shared" si="16"/>
        <v>134661.27449999997</v>
      </c>
      <c r="H78" s="213">
        <v>1</v>
      </c>
      <c r="I78" s="70">
        <f t="shared" si="17"/>
        <v>134661.27449999997</v>
      </c>
      <c r="J78" s="213">
        <v>1</v>
      </c>
      <c r="K78" s="70">
        <f t="shared" si="18"/>
        <v>134661.27449999997</v>
      </c>
      <c r="L78" s="213">
        <v>1</v>
      </c>
      <c r="M78" s="70">
        <f t="shared" si="19"/>
        <v>134661.27449999997</v>
      </c>
      <c r="N78" s="213">
        <v>1</v>
      </c>
      <c r="O78" s="70">
        <f t="shared" si="20"/>
        <v>201991.91174999997</v>
      </c>
      <c r="P78" s="213">
        <v>1</v>
      </c>
      <c r="Q78" s="70">
        <f t="shared" si="21"/>
        <v>134661.27449999997</v>
      </c>
      <c r="R78" s="213">
        <v>1</v>
      </c>
      <c r="S78" s="70">
        <f t="shared" si="22"/>
        <v>134661.27449999997</v>
      </c>
      <c r="T78" s="213">
        <v>1</v>
      </c>
      <c r="U78" s="70">
        <f t="shared" si="23"/>
        <v>134661.27449999997</v>
      </c>
      <c r="V78" s="213">
        <v>1</v>
      </c>
      <c r="W78" s="70">
        <f t="shared" si="24"/>
        <v>134661.27449999997</v>
      </c>
      <c r="X78" s="213">
        <v>1</v>
      </c>
      <c r="Y78" s="70">
        <f t="shared" si="25"/>
        <v>134661.27449999997</v>
      </c>
      <c r="Z78" s="213">
        <v>1</v>
      </c>
      <c r="AA78" s="70">
        <f t="shared" si="26"/>
        <v>201991.91174999997</v>
      </c>
      <c r="AB78" s="231">
        <f t="shared" si="27"/>
        <v>1750596.5684999998</v>
      </c>
    </row>
    <row r="79" spans="3:28" x14ac:dyDescent="0.3">
      <c r="C79" s="139" t="s">
        <v>152</v>
      </c>
      <c r="D79" s="213">
        <v>1</v>
      </c>
      <c r="E79" s="70">
        <f t="shared" si="15"/>
        <v>111007.93320000001</v>
      </c>
      <c r="F79" s="213">
        <v>1</v>
      </c>
      <c r="G79" s="70">
        <f t="shared" si="16"/>
        <v>111007.93320000001</v>
      </c>
      <c r="H79" s="213">
        <v>1</v>
      </c>
      <c r="I79" s="70">
        <f t="shared" si="17"/>
        <v>111007.93320000001</v>
      </c>
      <c r="J79" s="250">
        <v>2</v>
      </c>
      <c r="K79" s="70">
        <f t="shared" si="18"/>
        <v>222015.86640000003</v>
      </c>
      <c r="L79" s="213">
        <v>2</v>
      </c>
      <c r="M79" s="70">
        <f t="shared" si="19"/>
        <v>222015.86640000003</v>
      </c>
      <c r="N79" s="213">
        <v>2</v>
      </c>
      <c r="O79" s="70">
        <f t="shared" si="20"/>
        <v>333023.79960000003</v>
      </c>
      <c r="P79" s="213">
        <v>2</v>
      </c>
      <c r="Q79" s="70">
        <f t="shared" si="21"/>
        <v>222015.86640000003</v>
      </c>
      <c r="R79" s="213">
        <v>2</v>
      </c>
      <c r="S79" s="70">
        <f t="shared" si="22"/>
        <v>222015.86640000003</v>
      </c>
      <c r="T79" s="213">
        <v>2</v>
      </c>
      <c r="U79" s="70">
        <f t="shared" si="23"/>
        <v>222015.86640000003</v>
      </c>
      <c r="V79" s="213">
        <v>2</v>
      </c>
      <c r="W79" s="70">
        <f t="shared" si="24"/>
        <v>222015.86640000003</v>
      </c>
      <c r="X79" s="213">
        <v>2</v>
      </c>
      <c r="Y79" s="70">
        <f t="shared" si="25"/>
        <v>222015.86640000003</v>
      </c>
      <c r="Z79" s="213">
        <v>2</v>
      </c>
      <c r="AA79" s="70">
        <f t="shared" si="26"/>
        <v>333023.79960000003</v>
      </c>
      <c r="AB79" s="231">
        <f t="shared" si="27"/>
        <v>2553182.4635999999</v>
      </c>
    </row>
    <row r="80" spans="3:28" x14ac:dyDescent="0.3">
      <c r="C80" s="139" t="s">
        <v>151</v>
      </c>
      <c r="D80" s="213">
        <v>1</v>
      </c>
      <c r="E80" s="70">
        <f t="shared" si="15"/>
        <v>134661.27449999997</v>
      </c>
      <c r="F80" s="213">
        <v>1</v>
      </c>
      <c r="G80" s="70">
        <f t="shared" si="16"/>
        <v>134661.27449999997</v>
      </c>
      <c r="H80" s="213">
        <v>1</v>
      </c>
      <c r="I80" s="70">
        <f t="shared" si="17"/>
        <v>134661.27449999997</v>
      </c>
      <c r="J80" s="213">
        <v>1</v>
      </c>
      <c r="K80" s="70">
        <f t="shared" si="18"/>
        <v>134661.27449999997</v>
      </c>
      <c r="L80" s="213">
        <v>1</v>
      </c>
      <c r="M80" s="70">
        <f t="shared" si="19"/>
        <v>134661.27449999997</v>
      </c>
      <c r="N80" s="213">
        <v>1</v>
      </c>
      <c r="O80" s="70">
        <f t="shared" si="20"/>
        <v>201991.91174999997</v>
      </c>
      <c r="P80" s="213">
        <v>1</v>
      </c>
      <c r="Q80" s="70">
        <f t="shared" si="21"/>
        <v>134661.27449999997</v>
      </c>
      <c r="R80" s="213">
        <v>1</v>
      </c>
      <c r="S80" s="70">
        <f t="shared" si="22"/>
        <v>134661.27449999997</v>
      </c>
      <c r="T80" s="213">
        <v>1</v>
      </c>
      <c r="U80" s="70">
        <f t="shared" si="23"/>
        <v>134661.27449999997</v>
      </c>
      <c r="V80" s="213">
        <v>1</v>
      </c>
      <c r="W80" s="70">
        <f t="shared" si="24"/>
        <v>134661.27449999997</v>
      </c>
      <c r="X80" s="213">
        <v>1</v>
      </c>
      <c r="Y80" s="70">
        <f t="shared" si="25"/>
        <v>134661.27449999997</v>
      </c>
      <c r="Z80" s="213">
        <v>1</v>
      </c>
      <c r="AA80" s="70">
        <f t="shared" si="26"/>
        <v>201991.91174999997</v>
      </c>
      <c r="AB80" s="231">
        <f t="shared" si="27"/>
        <v>1750596.5684999998</v>
      </c>
    </row>
    <row r="81" spans="3:28" x14ac:dyDescent="0.3">
      <c r="C81" s="139" t="s">
        <v>153</v>
      </c>
      <c r="D81" s="213">
        <v>1</v>
      </c>
      <c r="E81" s="70">
        <f t="shared" si="15"/>
        <v>94473.698099999994</v>
      </c>
      <c r="F81" s="213">
        <v>1</v>
      </c>
      <c r="G81" s="70">
        <f t="shared" si="16"/>
        <v>94473.698099999994</v>
      </c>
      <c r="H81" s="213">
        <v>1</v>
      </c>
      <c r="I81" s="70">
        <f t="shared" si="17"/>
        <v>94473.698099999994</v>
      </c>
      <c r="J81" s="213">
        <v>1</v>
      </c>
      <c r="K81" s="70">
        <f t="shared" si="18"/>
        <v>94473.698099999994</v>
      </c>
      <c r="L81" s="213">
        <v>1</v>
      </c>
      <c r="M81" s="70">
        <f t="shared" si="19"/>
        <v>94473.698099999994</v>
      </c>
      <c r="N81" s="213">
        <v>1</v>
      </c>
      <c r="O81" s="70">
        <f t="shared" si="20"/>
        <v>141710.54715</v>
      </c>
      <c r="P81" s="213">
        <v>1</v>
      </c>
      <c r="Q81" s="70">
        <f t="shared" si="21"/>
        <v>94473.698099999994</v>
      </c>
      <c r="R81" s="213">
        <v>1</v>
      </c>
      <c r="S81" s="70">
        <f t="shared" si="22"/>
        <v>94473.698099999994</v>
      </c>
      <c r="T81" s="213">
        <v>1</v>
      </c>
      <c r="U81" s="70">
        <f t="shared" si="23"/>
        <v>94473.698099999994</v>
      </c>
      <c r="V81" s="213">
        <v>1</v>
      </c>
      <c r="W81" s="70">
        <f t="shared" si="24"/>
        <v>94473.698099999994</v>
      </c>
      <c r="X81" s="213">
        <v>1</v>
      </c>
      <c r="Y81" s="70">
        <f t="shared" si="25"/>
        <v>94473.698099999994</v>
      </c>
      <c r="Z81" s="213">
        <v>1</v>
      </c>
      <c r="AA81" s="70">
        <f t="shared" si="26"/>
        <v>141710.54715</v>
      </c>
      <c r="AB81" s="231">
        <f t="shared" si="27"/>
        <v>1228158.0753000001</v>
      </c>
    </row>
    <row r="82" spans="3:28" x14ac:dyDescent="0.3">
      <c r="C82" s="139" t="s">
        <v>160</v>
      </c>
      <c r="D82" s="213">
        <v>0</v>
      </c>
      <c r="E82" s="70">
        <f t="shared" si="15"/>
        <v>0</v>
      </c>
      <c r="F82" s="213">
        <v>0</v>
      </c>
      <c r="G82" s="70">
        <f t="shared" si="16"/>
        <v>0</v>
      </c>
      <c r="H82" s="213">
        <v>0</v>
      </c>
      <c r="I82" s="70">
        <f t="shared" si="17"/>
        <v>0</v>
      </c>
      <c r="J82" s="213">
        <v>0</v>
      </c>
      <c r="K82" s="70">
        <f t="shared" si="18"/>
        <v>0</v>
      </c>
      <c r="L82" s="213">
        <v>0</v>
      </c>
      <c r="M82" s="70">
        <f t="shared" si="19"/>
        <v>0</v>
      </c>
      <c r="N82" s="213">
        <v>0</v>
      </c>
      <c r="O82" s="70">
        <f t="shared" si="20"/>
        <v>0</v>
      </c>
      <c r="P82" s="213">
        <v>0</v>
      </c>
      <c r="Q82" s="70">
        <f t="shared" si="21"/>
        <v>0</v>
      </c>
      <c r="R82" s="213">
        <v>0</v>
      </c>
      <c r="S82" s="70">
        <f t="shared" si="22"/>
        <v>0</v>
      </c>
      <c r="T82" s="213">
        <v>0</v>
      </c>
      <c r="U82" s="70">
        <f t="shared" si="23"/>
        <v>0</v>
      </c>
      <c r="V82" s="213">
        <v>0</v>
      </c>
      <c r="W82" s="70">
        <f t="shared" si="24"/>
        <v>0</v>
      </c>
      <c r="X82" s="213">
        <v>0</v>
      </c>
      <c r="Y82" s="70">
        <f t="shared" si="25"/>
        <v>0</v>
      </c>
      <c r="Z82" s="250">
        <v>1</v>
      </c>
      <c r="AA82" s="70">
        <f t="shared" si="26"/>
        <v>130824.34515000001</v>
      </c>
      <c r="AB82" s="231">
        <f t="shared" si="27"/>
        <v>130824.34515000001</v>
      </c>
    </row>
    <row r="83" spans="3:28" x14ac:dyDescent="0.3">
      <c r="C83" s="139" t="s">
        <v>240</v>
      </c>
      <c r="D83" s="213">
        <v>0</v>
      </c>
      <c r="E83" s="70">
        <f t="shared" si="15"/>
        <v>0</v>
      </c>
      <c r="F83" s="213">
        <v>0</v>
      </c>
      <c r="G83" s="70">
        <f t="shared" si="16"/>
        <v>0</v>
      </c>
      <c r="H83" s="213">
        <v>0</v>
      </c>
      <c r="I83" s="70">
        <f t="shared" si="17"/>
        <v>0</v>
      </c>
      <c r="J83" s="213">
        <v>0</v>
      </c>
      <c r="K83" s="70">
        <f t="shared" si="18"/>
        <v>0</v>
      </c>
      <c r="L83" s="213">
        <v>0</v>
      </c>
      <c r="M83" s="70">
        <f t="shared" si="19"/>
        <v>0</v>
      </c>
      <c r="N83" s="213">
        <v>0</v>
      </c>
      <c r="O83" s="70">
        <f t="shared" si="20"/>
        <v>0</v>
      </c>
      <c r="P83" s="213">
        <v>0</v>
      </c>
      <c r="Q83" s="70">
        <f t="shared" si="21"/>
        <v>0</v>
      </c>
      <c r="R83" s="213">
        <v>0</v>
      </c>
      <c r="S83" s="70">
        <f t="shared" si="22"/>
        <v>0</v>
      </c>
      <c r="T83" s="213">
        <v>0</v>
      </c>
      <c r="U83" s="70">
        <f t="shared" si="23"/>
        <v>0</v>
      </c>
      <c r="V83" s="213">
        <v>0</v>
      </c>
      <c r="W83" s="70">
        <f t="shared" si="24"/>
        <v>0</v>
      </c>
      <c r="X83" s="213">
        <v>0</v>
      </c>
      <c r="Y83" s="70">
        <f t="shared" si="25"/>
        <v>0</v>
      </c>
      <c r="Z83" s="213">
        <v>0</v>
      </c>
      <c r="AA83" s="70">
        <f t="shared" si="26"/>
        <v>0</v>
      </c>
      <c r="AB83" s="231">
        <f t="shared" si="27"/>
        <v>0</v>
      </c>
    </row>
    <row r="84" spans="3:28" x14ac:dyDescent="0.3">
      <c r="C84" s="139" t="s">
        <v>241</v>
      </c>
      <c r="D84" s="213">
        <v>0</v>
      </c>
      <c r="E84" s="70">
        <f t="shared" si="15"/>
        <v>0</v>
      </c>
      <c r="F84" s="213">
        <v>0</v>
      </c>
      <c r="G84" s="70">
        <f t="shared" si="16"/>
        <v>0</v>
      </c>
      <c r="H84" s="213">
        <v>0</v>
      </c>
      <c r="I84" s="70">
        <f t="shared" si="17"/>
        <v>0</v>
      </c>
      <c r="J84" s="213">
        <v>0</v>
      </c>
      <c r="K84" s="70">
        <f t="shared" si="18"/>
        <v>0</v>
      </c>
      <c r="L84" s="213">
        <v>0</v>
      </c>
      <c r="M84" s="70">
        <f t="shared" si="19"/>
        <v>0</v>
      </c>
      <c r="N84" s="213">
        <v>0</v>
      </c>
      <c r="O84" s="70">
        <f t="shared" si="20"/>
        <v>0</v>
      </c>
      <c r="P84" s="213">
        <v>0</v>
      </c>
      <c r="Q84" s="70">
        <f t="shared" si="21"/>
        <v>0</v>
      </c>
      <c r="R84" s="213">
        <v>0</v>
      </c>
      <c r="S84" s="70">
        <f t="shared" si="22"/>
        <v>0</v>
      </c>
      <c r="T84" s="213">
        <v>0</v>
      </c>
      <c r="U84" s="70">
        <f t="shared" si="23"/>
        <v>0</v>
      </c>
      <c r="V84" s="213">
        <v>0</v>
      </c>
      <c r="W84" s="70">
        <f t="shared" si="24"/>
        <v>0</v>
      </c>
      <c r="X84" s="213">
        <v>0</v>
      </c>
      <c r="Y84" s="70">
        <f t="shared" si="25"/>
        <v>0</v>
      </c>
      <c r="Z84" s="213">
        <v>0</v>
      </c>
      <c r="AA84" s="70">
        <f t="shared" si="26"/>
        <v>0</v>
      </c>
      <c r="AB84" s="231">
        <f t="shared" si="27"/>
        <v>0</v>
      </c>
    </row>
    <row r="85" spans="3:28" ht="15" thickBot="1" x14ac:dyDescent="0.35">
      <c r="C85" s="227" t="s">
        <v>244</v>
      </c>
      <c r="D85" s="213">
        <v>10</v>
      </c>
      <c r="E85" s="70">
        <f t="shared" si="15"/>
        <v>577451.6669999999</v>
      </c>
      <c r="F85" s="213">
        <v>10</v>
      </c>
      <c r="G85" s="70">
        <f t="shared" si="16"/>
        <v>577451.6669999999</v>
      </c>
      <c r="H85" s="213">
        <v>10</v>
      </c>
      <c r="I85" s="70">
        <f t="shared" si="17"/>
        <v>577451.6669999999</v>
      </c>
      <c r="J85" s="213">
        <v>10</v>
      </c>
      <c r="K85" s="70">
        <f t="shared" si="18"/>
        <v>577451.6669999999</v>
      </c>
      <c r="L85" s="61">
        <v>10</v>
      </c>
      <c r="M85" s="70">
        <f t="shared" si="19"/>
        <v>577451.6669999999</v>
      </c>
      <c r="N85" s="213">
        <v>10</v>
      </c>
      <c r="O85" s="70">
        <f t="shared" si="20"/>
        <v>866177.50049999985</v>
      </c>
      <c r="P85" s="213">
        <v>10</v>
      </c>
      <c r="Q85" s="70">
        <f t="shared" si="21"/>
        <v>577451.6669999999</v>
      </c>
      <c r="R85" s="213">
        <v>10</v>
      </c>
      <c r="S85" s="70">
        <f t="shared" si="22"/>
        <v>577451.6669999999</v>
      </c>
      <c r="T85" s="213">
        <v>10</v>
      </c>
      <c r="U85" s="70">
        <f t="shared" si="23"/>
        <v>577451.6669999999</v>
      </c>
      <c r="V85" s="213">
        <v>10</v>
      </c>
      <c r="W85" s="70">
        <f t="shared" si="24"/>
        <v>577451.6669999999</v>
      </c>
      <c r="X85" s="213">
        <v>10</v>
      </c>
      <c r="Y85" s="70">
        <f t="shared" si="25"/>
        <v>577451.6669999999</v>
      </c>
      <c r="Z85" s="213">
        <v>10</v>
      </c>
      <c r="AA85" s="70">
        <f t="shared" si="26"/>
        <v>866177.50049999985</v>
      </c>
      <c r="AB85" s="231">
        <f t="shared" si="27"/>
        <v>7506871.6709999973</v>
      </c>
    </row>
    <row r="86" spans="3:28" ht="16.2" thickBot="1" x14ac:dyDescent="0.35">
      <c r="C86" s="248" t="s">
        <v>235</v>
      </c>
      <c r="D86" s="247">
        <f t="shared" ref="D86:AA86" si="28">SUM(D65:D85)</f>
        <v>27</v>
      </c>
      <c r="E86" s="233">
        <f t="shared" si="28"/>
        <v>2817035.8056000005</v>
      </c>
      <c r="F86" s="232">
        <f t="shared" si="28"/>
        <v>27</v>
      </c>
      <c r="G86" s="233">
        <f t="shared" si="28"/>
        <v>2817035.8056000005</v>
      </c>
      <c r="H86" s="232">
        <f t="shared" si="28"/>
        <v>27</v>
      </c>
      <c r="I86" s="233">
        <f t="shared" si="28"/>
        <v>2817035.8056000005</v>
      </c>
      <c r="J86" s="232">
        <f t="shared" si="28"/>
        <v>28</v>
      </c>
      <c r="K86" s="233">
        <f t="shared" si="28"/>
        <v>2928043.7388000004</v>
      </c>
      <c r="L86" s="232">
        <f t="shared" si="28"/>
        <v>28</v>
      </c>
      <c r="M86" s="233">
        <f t="shared" si="28"/>
        <v>2928043.7388000004</v>
      </c>
      <c r="N86" s="232">
        <f t="shared" si="28"/>
        <v>28</v>
      </c>
      <c r="O86" s="233">
        <f t="shared" si="28"/>
        <v>4392065.6081999997</v>
      </c>
      <c r="P86" s="232">
        <f t="shared" si="28"/>
        <v>28</v>
      </c>
      <c r="Q86" s="233">
        <f t="shared" si="28"/>
        <v>2928043.7388000004</v>
      </c>
      <c r="R86" s="232">
        <f t="shared" si="28"/>
        <v>30</v>
      </c>
      <c r="S86" s="233">
        <f t="shared" si="28"/>
        <v>3056889.9018000006</v>
      </c>
      <c r="T86" s="232">
        <f t="shared" si="28"/>
        <v>31</v>
      </c>
      <c r="U86" s="233">
        <f t="shared" si="28"/>
        <v>3121312.9833000004</v>
      </c>
      <c r="V86" s="232">
        <f t="shared" si="28"/>
        <v>35</v>
      </c>
      <c r="W86" s="233">
        <f t="shared" si="28"/>
        <v>3424591.6064999998</v>
      </c>
      <c r="X86" s="232">
        <f t="shared" si="28"/>
        <v>35</v>
      </c>
      <c r="Y86" s="233">
        <f t="shared" si="28"/>
        <v>3424591.6064999998</v>
      </c>
      <c r="Z86" s="232">
        <f t="shared" si="28"/>
        <v>36</v>
      </c>
      <c r="AA86" s="233">
        <f t="shared" si="28"/>
        <v>5267711.754900001</v>
      </c>
      <c r="AB86" s="214">
        <f>AA86+Y86+W86+U86+S86+Q86+O86+M86+K86+I86+G86+E86</f>
        <v>39922402.094400004</v>
      </c>
    </row>
    <row r="87" spans="3:28" ht="15" thickBot="1" x14ac:dyDescent="0.35">
      <c r="C87" s="25"/>
      <c r="D87" s="25"/>
      <c r="E87" s="25"/>
      <c r="F87" s="25"/>
      <c r="G87" s="25"/>
      <c r="H87" s="25"/>
      <c r="I87" s="25"/>
      <c r="J87" s="25"/>
      <c r="K87" s="25"/>
      <c r="L87" s="25"/>
      <c r="M87" s="25"/>
      <c r="N87" s="25"/>
      <c r="O87" s="25"/>
      <c r="P87" s="25"/>
      <c r="Q87" s="25"/>
      <c r="R87" s="25"/>
      <c r="S87" s="25"/>
      <c r="T87" s="25"/>
      <c r="U87" s="25"/>
      <c r="V87" s="25"/>
      <c r="W87" s="25"/>
      <c r="X87" s="25"/>
      <c r="Y87" s="25"/>
      <c r="Z87" s="25"/>
      <c r="AA87" s="25"/>
      <c r="AB87" s="25"/>
    </row>
    <row r="88" spans="3:28" ht="26.4" thickBot="1" x14ac:dyDescent="0.55000000000000004">
      <c r="C88" s="841" t="s">
        <v>470</v>
      </c>
      <c r="D88" s="842"/>
      <c r="E88" s="842"/>
      <c r="F88" s="842"/>
      <c r="G88" s="842"/>
      <c r="H88" s="842"/>
      <c r="I88" s="842"/>
      <c r="J88" s="842"/>
      <c r="K88" s="842"/>
      <c r="L88" s="842"/>
      <c r="M88" s="842"/>
      <c r="N88" s="842"/>
      <c r="O88" s="842"/>
      <c r="P88" s="842"/>
      <c r="Q88" s="842"/>
      <c r="R88" s="842"/>
      <c r="S88" s="842"/>
      <c r="T88" s="842"/>
      <c r="U88" s="842"/>
      <c r="V88" s="842"/>
      <c r="W88" s="842"/>
      <c r="X88" s="842"/>
      <c r="Y88" s="842"/>
      <c r="Z88" s="842"/>
      <c r="AA88" s="842"/>
      <c r="AB88" s="843"/>
    </row>
    <row r="89" spans="3:28" ht="15.6" x14ac:dyDescent="0.3">
      <c r="C89" s="849" t="s">
        <v>225</v>
      </c>
      <c r="D89" s="851" t="s">
        <v>28</v>
      </c>
      <c r="E89" s="844"/>
      <c r="F89" s="844" t="s">
        <v>29</v>
      </c>
      <c r="G89" s="844"/>
      <c r="H89" s="844" t="s">
        <v>30</v>
      </c>
      <c r="I89" s="844"/>
      <c r="J89" s="844" t="s">
        <v>31</v>
      </c>
      <c r="K89" s="844"/>
      <c r="L89" s="844" t="s">
        <v>32</v>
      </c>
      <c r="M89" s="844"/>
      <c r="N89" s="844" t="s">
        <v>232</v>
      </c>
      <c r="O89" s="844"/>
      <c r="P89" s="844" t="s">
        <v>34</v>
      </c>
      <c r="Q89" s="844"/>
      <c r="R89" s="844" t="s">
        <v>35</v>
      </c>
      <c r="S89" s="844"/>
      <c r="T89" s="844" t="s">
        <v>36</v>
      </c>
      <c r="U89" s="844"/>
      <c r="V89" s="844" t="s">
        <v>37</v>
      </c>
      <c r="W89" s="844"/>
      <c r="X89" s="844" t="s">
        <v>38</v>
      </c>
      <c r="Y89" s="844"/>
      <c r="Z89" s="844" t="s">
        <v>233</v>
      </c>
      <c r="AA89" s="844"/>
      <c r="AB89" s="845" t="s">
        <v>234</v>
      </c>
    </row>
    <row r="90" spans="3:28" ht="16.2" thickBot="1" x14ac:dyDescent="0.35">
      <c r="C90" s="850"/>
      <c r="D90" s="251" t="s">
        <v>42</v>
      </c>
      <c r="E90" s="69" t="s">
        <v>43</v>
      </c>
      <c r="F90" s="69" t="s">
        <v>42</v>
      </c>
      <c r="G90" s="69" t="s">
        <v>43</v>
      </c>
      <c r="H90" s="69" t="s">
        <v>42</v>
      </c>
      <c r="I90" s="69" t="s">
        <v>43</v>
      </c>
      <c r="J90" s="69" t="s">
        <v>42</v>
      </c>
      <c r="K90" s="69" t="s">
        <v>43</v>
      </c>
      <c r="L90" s="69" t="s">
        <v>42</v>
      </c>
      <c r="M90" s="69" t="s">
        <v>43</v>
      </c>
      <c r="N90" s="69" t="s">
        <v>42</v>
      </c>
      <c r="O90" s="69" t="s">
        <v>43</v>
      </c>
      <c r="P90" s="69" t="s">
        <v>42</v>
      </c>
      <c r="Q90" s="69" t="s">
        <v>43</v>
      </c>
      <c r="R90" s="69" t="s">
        <v>42</v>
      </c>
      <c r="S90" s="69" t="s">
        <v>43</v>
      </c>
      <c r="T90" s="69" t="s">
        <v>42</v>
      </c>
      <c r="U90" s="69" t="s">
        <v>43</v>
      </c>
      <c r="V90" s="69" t="s">
        <v>42</v>
      </c>
      <c r="W90" s="69" t="s">
        <v>43</v>
      </c>
      <c r="X90" s="69" t="s">
        <v>42</v>
      </c>
      <c r="Y90" s="69" t="s">
        <v>43</v>
      </c>
      <c r="Z90" s="69" t="s">
        <v>42</v>
      </c>
      <c r="AA90" s="69" t="s">
        <v>43</v>
      </c>
      <c r="AB90" s="846"/>
    </row>
    <row r="91" spans="3:28" x14ac:dyDescent="0.3">
      <c r="C91" s="143" t="s">
        <v>105</v>
      </c>
      <c r="D91" s="213">
        <v>1</v>
      </c>
      <c r="E91" s="70">
        <f>D91*L13</f>
        <v>306413.95380000002</v>
      </c>
      <c r="F91" s="213">
        <v>1</v>
      </c>
      <c r="G91" s="70">
        <f>F91*L13</f>
        <v>306413.95380000002</v>
      </c>
      <c r="H91" s="213">
        <v>1</v>
      </c>
      <c r="I91" s="70">
        <f>H91*L13</f>
        <v>306413.95380000002</v>
      </c>
      <c r="J91" s="213">
        <v>1</v>
      </c>
      <c r="K91" s="70">
        <f>J91*L13</f>
        <v>306413.95380000002</v>
      </c>
      <c r="L91" s="213">
        <v>1</v>
      </c>
      <c r="M91" s="70">
        <f>L91*L13</f>
        <v>306413.95380000002</v>
      </c>
      <c r="N91" s="213">
        <v>1</v>
      </c>
      <c r="O91" s="70">
        <f>N91*L13*1.5</f>
        <v>459620.93070000003</v>
      </c>
      <c r="P91" s="213">
        <v>1</v>
      </c>
      <c r="Q91" s="70">
        <f>P91*L13</f>
        <v>306413.95380000002</v>
      </c>
      <c r="R91" s="213">
        <v>1</v>
      </c>
      <c r="S91" s="70">
        <f>R91*L13</f>
        <v>306413.95380000002</v>
      </c>
      <c r="T91" s="213">
        <v>1</v>
      </c>
      <c r="U91" s="70">
        <f>T91*L13</f>
        <v>306413.95380000002</v>
      </c>
      <c r="V91" s="213">
        <v>1</v>
      </c>
      <c r="W91" s="70">
        <f>V91*L13</f>
        <v>306413.95380000002</v>
      </c>
      <c r="X91" s="213">
        <v>1</v>
      </c>
      <c r="Y91" s="70">
        <f>X91*L13</f>
        <v>306413.95380000002</v>
      </c>
      <c r="Z91" s="213">
        <v>1</v>
      </c>
      <c r="AA91" s="70">
        <f>Z91*L13*1.5</f>
        <v>459620.93070000003</v>
      </c>
      <c r="AB91" s="231">
        <f>E91+G91+I91+K91+M91+O91+Q91+S91+U91+W91+Y91+AA91</f>
        <v>3983381.3994000009</v>
      </c>
    </row>
    <row r="92" spans="3:28" x14ac:dyDescent="0.3">
      <c r="C92" s="139" t="s">
        <v>106</v>
      </c>
      <c r="D92" s="213">
        <v>1</v>
      </c>
      <c r="E92" s="70">
        <f t="shared" ref="E92:E111" si="29">D92*L14</f>
        <v>242674.84949999998</v>
      </c>
      <c r="F92" s="213">
        <v>1</v>
      </c>
      <c r="G92" s="70">
        <f t="shared" ref="G92:G111" si="30">F92*L14</f>
        <v>242674.84949999998</v>
      </c>
      <c r="H92" s="213">
        <v>1</v>
      </c>
      <c r="I92" s="70">
        <f t="shared" ref="I92:I111" si="31">H92*L14</f>
        <v>242674.84949999998</v>
      </c>
      <c r="J92" s="213">
        <v>1</v>
      </c>
      <c r="K92" s="70">
        <f t="shared" ref="K92:K111" si="32">J92*L14</f>
        <v>242674.84949999998</v>
      </c>
      <c r="L92" s="213">
        <v>1</v>
      </c>
      <c r="M92" s="70">
        <f t="shared" ref="M92:M111" si="33">L92*L14</f>
        <v>242674.84949999998</v>
      </c>
      <c r="N92" s="213">
        <v>1</v>
      </c>
      <c r="O92" s="70">
        <f t="shared" ref="O92:O111" si="34">N92*L14*1.5</f>
        <v>364012.27424999996</v>
      </c>
      <c r="P92" s="213">
        <v>1</v>
      </c>
      <c r="Q92" s="70">
        <f t="shared" ref="Q92:Q111" si="35">P92*L14</f>
        <v>242674.84949999998</v>
      </c>
      <c r="R92" s="213">
        <v>1</v>
      </c>
      <c r="S92" s="70">
        <f t="shared" ref="S92:S110" si="36">R92*L14</f>
        <v>242674.84949999998</v>
      </c>
      <c r="T92" s="213">
        <v>1</v>
      </c>
      <c r="U92" s="70">
        <f t="shared" ref="U92:U111" si="37">T92*L14</f>
        <v>242674.84949999998</v>
      </c>
      <c r="V92" s="213">
        <v>1</v>
      </c>
      <c r="W92" s="70">
        <f t="shared" ref="W92:W111" si="38">V92*L14</f>
        <v>242674.84949999998</v>
      </c>
      <c r="X92" s="213">
        <v>1</v>
      </c>
      <c r="Y92" s="70">
        <f t="shared" ref="Y92:Y111" si="39">X92*L14</f>
        <v>242674.84949999998</v>
      </c>
      <c r="Z92" s="213">
        <v>1</v>
      </c>
      <c r="AA92" s="70">
        <f t="shared" ref="AA92:AA111" si="40">Z92*L14*1.5</f>
        <v>364012.27424999996</v>
      </c>
      <c r="AB92" s="231">
        <f t="shared" ref="AB92:AB111" si="41">E92+G92+I92+K92+M92+O92+Q92+S92+U92+W92+Y92+AA92</f>
        <v>3154773.0434999997</v>
      </c>
    </row>
    <row r="93" spans="3:28" x14ac:dyDescent="0.3">
      <c r="C93" s="139" t="s">
        <v>107</v>
      </c>
      <c r="D93" s="213">
        <v>1</v>
      </c>
      <c r="E93" s="70">
        <f t="shared" si="29"/>
        <v>242674.84949999998</v>
      </c>
      <c r="F93" s="213">
        <v>1</v>
      </c>
      <c r="G93" s="70">
        <f t="shared" si="30"/>
        <v>242674.84949999998</v>
      </c>
      <c r="H93" s="213">
        <v>1</v>
      </c>
      <c r="I93" s="70">
        <f t="shared" si="31"/>
        <v>242674.84949999998</v>
      </c>
      <c r="J93" s="213">
        <v>1</v>
      </c>
      <c r="K93" s="70">
        <f t="shared" si="32"/>
        <v>242674.84949999998</v>
      </c>
      <c r="L93" s="213">
        <v>1</v>
      </c>
      <c r="M93" s="70">
        <f t="shared" si="33"/>
        <v>242674.84949999998</v>
      </c>
      <c r="N93" s="213">
        <v>1</v>
      </c>
      <c r="O93" s="70">
        <f t="shared" si="34"/>
        <v>364012.27424999996</v>
      </c>
      <c r="P93" s="213">
        <v>1</v>
      </c>
      <c r="Q93" s="70">
        <f t="shared" si="35"/>
        <v>242674.84949999998</v>
      </c>
      <c r="R93" s="213">
        <v>1</v>
      </c>
      <c r="S93" s="70">
        <f t="shared" si="36"/>
        <v>242674.84949999998</v>
      </c>
      <c r="T93" s="213">
        <v>1</v>
      </c>
      <c r="U93" s="70">
        <f t="shared" si="37"/>
        <v>242674.84949999998</v>
      </c>
      <c r="V93" s="213">
        <v>1</v>
      </c>
      <c r="W93" s="70">
        <f t="shared" si="38"/>
        <v>242674.84949999998</v>
      </c>
      <c r="X93" s="213">
        <v>1</v>
      </c>
      <c r="Y93" s="70">
        <f t="shared" si="39"/>
        <v>242674.84949999998</v>
      </c>
      <c r="Z93" s="213">
        <v>1</v>
      </c>
      <c r="AA93" s="70">
        <f t="shared" si="40"/>
        <v>364012.27424999996</v>
      </c>
      <c r="AB93" s="231">
        <f t="shared" si="41"/>
        <v>3154773.0434999997</v>
      </c>
    </row>
    <row r="94" spans="3:28" x14ac:dyDescent="0.3">
      <c r="C94" s="139" t="s">
        <v>108</v>
      </c>
      <c r="D94" s="213">
        <v>1</v>
      </c>
      <c r="E94" s="70">
        <f t="shared" si="29"/>
        <v>134661.27449999997</v>
      </c>
      <c r="F94" s="213">
        <v>1</v>
      </c>
      <c r="G94" s="70">
        <f t="shared" si="30"/>
        <v>134661.27449999997</v>
      </c>
      <c r="H94" s="213">
        <v>1</v>
      </c>
      <c r="I94" s="70">
        <f t="shared" si="31"/>
        <v>134661.27449999997</v>
      </c>
      <c r="J94" s="213">
        <v>1</v>
      </c>
      <c r="K94" s="70">
        <f t="shared" si="32"/>
        <v>134661.27449999997</v>
      </c>
      <c r="L94" s="213">
        <v>1</v>
      </c>
      <c r="M94" s="70">
        <f t="shared" si="33"/>
        <v>134661.27449999997</v>
      </c>
      <c r="N94" s="213">
        <v>1</v>
      </c>
      <c r="O94" s="70">
        <f t="shared" si="34"/>
        <v>201991.91174999997</v>
      </c>
      <c r="P94" s="213">
        <v>1</v>
      </c>
      <c r="Q94" s="70">
        <f t="shared" si="35"/>
        <v>134661.27449999997</v>
      </c>
      <c r="R94" s="213">
        <v>1</v>
      </c>
      <c r="S94" s="70">
        <f t="shared" si="36"/>
        <v>134661.27449999997</v>
      </c>
      <c r="T94" s="213">
        <v>1</v>
      </c>
      <c r="U94" s="70">
        <f t="shared" si="37"/>
        <v>134661.27449999997</v>
      </c>
      <c r="V94" s="213">
        <v>1</v>
      </c>
      <c r="W94" s="70">
        <f t="shared" si="38"/>
        <v>134661.27449999997</v>
      </c>
      <c r="X94" s="213">
        <v>1</v>
      </c>
      <c r="Y94" s="70">
        <f t="shared" si="39"/>
        <v>134661.27449999997</v>
      </c>
      <c r="Z94" s="213">
        <v>1</v>
      </c>
      <c r="AA94" s="70">
        <f t="shared" si="40"/>
        <v>201991.91174999997</v>
      </c>
      <c r="AB94" s="231">
        <f t="shared" si="41"/>
        <v>1750596.5684999998</v>
      </c>
    </row>
    <row r="95" spans="3:28" x14ac:dyDescent="0.3">
      <c r="C95" s="139" t="s">
        <v>114</v>
      </c>
      <c r="D95" s="213">
        <v>1</v>
      </c>
      <c r="E95" s="70">
        <f t="shared" si="29"/>
        <v>134661.27449999997</v>
      </c>
      <c r="F95" s="213">
        <v>1</v>
      </c>
      <c r="G95" s="70">
        <f t="shared" si="30"/>
        <v>134661.27449999997</v>
      </c>
      <c r="H95" s="213">
        <v>1</v>
      </c>
      <c r="I95" s="70">
        <f t="shared" si="31"/>
        <v>134661.27449999997</v>
      </c>
      <c r="J95" s="213">
        <v>1</v>
      </c>
      <c r="K95" s="70">
        <f t="shared" si="32"/>
        <v>134661.27449999997</v>
      </c>
      <c r="L95" s="213">
        <v>1</v>
      </c>
      <c r="M95" s="70">
        <f t="shared" si="33"/>
        <v>134661.27449999997</v>
      </c>
      <c r="N95" s="213">
        <v>1</v>
      </c>
      <c r="O95" s="70">
        <f t="shared" si="34"/>
        <v>201991.91174999997</v>
      </c>
      <c r="P95" s="213">
        <v>1</v>
      </c>
      <c r="Q95" s="70">
        <f t="shared" si="35"/>
        <v>134661.27449999997</v>
      </c>
      <c r="R95" s="213">
        <v>1</v>
      </c>
      <c r="S95" s="70">
        <f t="shared" si="36"/>
        <v>134661.27449999997</v>
      </c>
      <c r="T95" s="213">
        <v>1</v>
      </c>
      <c r="U95" s="70">
        <f t="shared" si="37"/>
        <v>134661.27449999997</v>
      </c>
      <c r="V95" s="213">
        <v>1</v>
      </c>
      <c r="W95" s="70">
        <f t="shared" si="38"/>
        <v>134661.27449999997</v>
      </c>
      <c r="X95" s="213">
        <v>1</v>
      </c>
      <c r="Y95" s="70">
        <f t="shared" si="39"/>
        <v>134661.27449999997</v>
      </c>
      <c r="Z95" s="213">
        <v>1</v>
      </c>
      <c r="AA95" s="70">
        <f t="shared" si="40"/>
        <v>201991.91174999997</v>
      </c>
      <c r="AB95" s="231">
        <f t="shared" si="41"/>
        <v>1750596.5684999998</v>
      </c>
    </row>
    <row r="96" spans="3:28" x14ac:dyDescent="0.3">
      <c r="C96" s="139" t="s">
        <v>142</v>
      </c>
      <c r="D96" s="213">
        <v>3</v>
      </c>
      <c r="E96" s="70">
        <f t="shared" si="29"/>
        <v>261648.69030000002</v>
      </c>
      <c r="F96" s="213">
        <v>3</v>
      </c>
      <c r="G96" s="70">
        <f t="shared" si="30"/>
        <v>261648.69030000002</v>
      </c>
      <c r="H96" s="213">
        <v>3</v>
      </c>
      <c r="I96" s="70">
        <f t="shared" si="31"/>
        <v>261648.69030000002</v>
      </c>
      <c r="J96" s="213">
        <v>3</v>
      </c>
      <c r="K96" s="70">
        <f t="shared" si="32"/>
        <v>261648.69030000002</v>
      </c>
      <c r="L96" s="213">
        <v>3</v>
      </c>
      <c r="M96" s="70">
        <f t="shared" si="33"/>
        <v>261648.69030000002</v>
      </c>
      <c r="N96" s="213">
        <v>3</v>
      </c>
      <c r="O96" s="70">
        <f t="shared" si="34"/>
        <v>392473.03545000002</v>
      </c>
      <c r="P96" s="213">
        <v>3</v>
      </c>
      <c r="Q96" s="70">
        <f t="shared" si="35"/>
        <v>261648.69030000002</v>
      </c>
      <c r="R96" s="213">
        <v>3</v>
      </c>
      <c r="S96" s="70">
        <f t="shared" si="36"/>
        <v>261648.69030000002</v>
      </c>
      <c r="T96" s="213">
        <v>3</v>
      </c>
      <c r="U96" s="70">
        <f t="shared" si="37"/>
        <v>261648.69030000002</v>
      </c>
      <c r="V96" s="213">
        <v>3</v>
      </c>
      <c r="W96" s="70">
        <f t="shared" si="38"/>
        <v>261648.69030000002</v>
      </c>
      <c r="X96" s="213">
        <v>3</v>
      </c>
      <c r="Y96" s="70">
        <f t="shared" si="39"/>
        <v>261648.69030000002</v>
      </c>
      <c r="Z96" s="213">
        <v>3</v>
      </c>
      <c r="AA96" s="70">
        <f t="shared" si="40"/>
        <v>392473.03545000002</v>
      </c>
      <c r="AB96" s="231">
        <f t="shared" si="41"/>
        <v>3401432.9738999996</v>
      </c>
    </row>
    <row r="97" spans="3:28" x14ac:dyDescent="0.3">
      <c r="C97" s="139" t="s">
        <v>143</v>
      </c>
      <c r="D97" s="213">
        <v>1</v>
      </c>
      <c r="E97" s="70">
        <f t="shared" si="29"/>
        <v>111007.93320000001</v>
      </c>
      <c r="F97" s="213">
        <v>1</v>
      </c>
      <c r="G97" s="70">
        <f t="shared" si="30"/>
        <v>111007.93320000001</v>
      </c>
      <c r="H97" s="213">
        <v>1</v>
      </c>
      <c r="I97" s="70">
        <f t="shared" si="31"/>
        <v>111007.93320000001</v>
      </c>
      <c r="J97" s="213">
        <v>1</v>
      </c>
      <c r="K97" s="70">
        <f t="shared" si="32"/>
        <v>111007.93320000001</v>
      </c>
      <c r="L97" s="213">
        <v>1</v>
      </c>
      <c r="M97" s="70">
        <f t="shared" si="33"/>
        <v>111007.93320000001</v>
      </c>
      <c r="N97" s="213">
        <v>1</v>
      </c>
      <c r="O97" s="70">
        <f t="shared" si="34"/>
        <v>166511.89980000001</v>
      </c>
      <c r="P97" s="213">
        <v>1</v>
      </c>
      <c r="Q97" s="70">
        <f t="shared" si="35"/>
        <v>111007.93320000001</v>
      </c>
      <c r="R97" s="213">
        <v>1</v>
      </c>
      <c r="S97" s="70">
        <f t="shared" si="36"/>
        <v>111007.93320000001</v>
      </c>
      <c r="T97" s="213">
        <v>1</v>
      </c>
      <c r="U97" s="70">
        <f t="shared" si="37"/>
        <v>111007.93320000001</v>
      </c>
      <c r="V97" s="213">
        <v>1</v>
      </c>
      <c r="W97" s="70">
        <f t="shared" si="38"/>
        <v>111007.93320000001</v>
      </c>
      <c r="X97" s="213">
        <v>1</v>
      </c>
      <c r="Y97" s="70">
        <f t="shared" si="39"/>
        <v>111007.93320000001</v>
      </c>
      <c r="Z97" s="213">
        <v>1</v>
      </c>
      <c r="AA97" s="70">
        <f t="shared" si="40"/>
        <v>166511.89980000001</v>
      </c>
      <c r="AB97" s="231">
        <f t="shared" si="41"/>
        <v>1443103.1316000002</v>
      </c>
    </row>
    <row r="98" spans="3:28" x14ac:dyDescent="0.3">
      <c r="C98" s="139" t="s">
        <v>144</v>
      </c>
      <c r="D98" s="213">
        <v>3</v>
      </c>
      <c r="E98" s="70">
        <f t="shared" si="29"/>
        <v>193269.2445</v>
      </c>
      <c r="F98" s="213">
        <v>3</v>
      </c>
      <c r="G98" s="70">
        <f t="shared" si="30"/>
        <v>193269.2445</v>
      </c>
      <c r="H98" s="213">
        <v>3</v>
      </c>
      <c r="I98" s="70">
        <f t="shared" si="31"/>
        <v>193269.2445</v>
      </c>
      <c r="J98" s="213">
        <v>3</v>
      </c>
      <c r="K98" s="70">
        <f t="shared" si="32"/>
        <v>193269.2445</v>
      </c>
      <c r="L98" s="213">
        <v>3</v>
      </c>
      <c r="M98" s="70">
        <f t="shared" si="33"/>
        <v>193269.2445</v>
      </c>
      <c r="N98" s="213">
        <v>3</v>
      </c>
      <c r="O98" s="70">
        <f t="shared" si="34"/>
        <v>289903.86674999999</v>
      </c>
      <c r="P98" s="213">
        <v>3</v>
      </c>
      <c r="Q98" s="70">
        <f t="shared" si="35"/>
        <v>193269.2445</v>
      </c>
      <c r="R98" s="213">
        <v>3</v>
      </c>
      <c r="S98" s="70">
        <f t="shared" si="36"/>
        <v>193269.2445</v>
      </c>
      <c r="T98" s="213">
        <v>3</v>
      </c>
      <c r="U98" s="70">
        <f t="shared" si="37"/>
        <v>193269.2445</v>
      </c>
      <c r="V98" s="213">
        <v>3</v>
      </c>
      <c r="W98" s="70">
        <f t="shared" si="38"/>
        <v>193269.2445</v>
      </c>
      <c r="X98" s="213">
        <v>3</v>
      </c>
      <c r="Y98" s="70">
        <f t="shared" si="39"/>
        <v>193269.2445</v>
      </c>
      <c r="Z98" s="213">
        <v>3</v>
      </c>
      <c r="AA98" s="70">
        <f t="shared" si="40"/>
        <v>289903.86674999999</v>
      </c>
      <c r="AB98" s="231">
        <f t="shared" si="41"/>
        <v>2512500.1784999999</v>
      </c>
    </row>
    <row r="99" spans="3:28" x14ac:dyDescent="0.3">
      <c r="C99" s="139" t="s">
        <v>145</v>
      </c>
      <c r="D99" s="213">
        <v>2</v>
      </c>
      <c r="E99" s="70">
        <f t="shared" si="29"/>
        <v>128846.163</v>
      </c>
      <c r="F99" s="213">
        <v>2</v>
      </c>
      <c r="G99" s="70">
        <f t="shared" si="30"/>
        <v>128846.163</v>
      </c>
      <c r="H99" s="213">
        <v>2</v>
      </c>
      <c r="I99" s="70">
        <f t="shared" si="31"/>
        <v>128846.163</v>
      </c>
      <c r="J99" s="213">
        <v>2</v>
      </c>
      <c r="K99" s="70">
        <f t="shared" si="32"/>
        <v>128846.163</v>
      </c>
      <c r="L99" s="213">
        <v>2</v>
      </c>
      <c r="M99" s="70">
        <f t="shared" si="33"/>
        <v>128846.163</v>
      </c>
      <c r="N99" s="213">
        <v>2</v>
      </c>
      <c r="O99" s="70">
        <f t="shared" si="34"/>
        <v>193269.2445</v>
      </c>
      <c r="P99" s="213">
        <v>2</v>
      </c>
      <c r="Q99" s="70">
        <f t="shared" si="35"/>
        <v>128846.163</v>
      </c>
      <c r="R99" s="213">
        <v>2</v>
      </c>
      <c r="S99" s="70">
        <f t="shared" si="36"/>
        <v>128846.163</v>
      </c>
      <c r="T99" s="213">
        <v>2</v>
      </c>
      <c r="U99" s="70">
        <f t="shared" si="37"/>
        <v>128846.163</v>
      </c>
      <c r="V99" s="213">
        <v>2</v>
      </c>
      <c r="W99" s="70">
        <f t="shared" si="38"/>
        <v>128846.163</v>
      </c>
      <c r="X99" s="213">
        <v>2</v>
      </c>
      <c r="Y99" s="70">
        <f t="shared" si="39"/>
        <v>128846.163</v>
      </c>
      <c r="Z99" s="213">
        <v>2</v>
      </c>
      <c r="AA99" s="70">
        <f t="shared" si="40"/>
        <v>193269.2445</v>
      </c>
      <c r="AB99" s="231">
        <f t="shared" si="41"/>
        <v>1675000.1189999997</v>
      </c>
    </row>
    <row r="100" spans="3:28" x14ac:dyDescent="0.3">
      <c r="C100" s="139" t="s">
        <v>146</v>
      </c>
      <c r="D100" s="213">
        <v>1</v>
      </c>
      <c r="E100" s="70">
        <f t="shared" si="29"/>
        <v>111007.93320000001</v>
      </c>
      <c r="F100" s="213">
        <v>1</v>
      </c>
      <c r="G100" s="70">
        <f t="shared" si="30"/>
        <v>111007.93320000001</v>
      </c>
      <c r="H100" s="213">
        <v>1</v>
      </c>
      <c r="I100" s="70">
        <f t="shared" si="31"/>
        <v>111007.93320000001</v>
      </c>
      <c r="J100" s="213">
        <v>1</v>
      </c>
      <c r="K100" s="70">
        <f t="shared" si="32"/>
        <v>111007.93320000001</v>
      </c>
      <c r="L100" s="213">
        <v>1</v>
      </c>
      <c r="M100" s="70">
        <f t="shared" si="33"/>
        <v>111007.93320000001</v>
      </c>
      <c r="N100" s="213">
        <v>1</v>
      </c>
      <c r="O100" s="70">
        <f t="shared" si="34"/>
        <v>166511.89980000001</v>
      </c>
      <c r="P100" s="213">
        <v>1</v>
      </c>
      <c r="Q100" s="70">
        <f t="shared" si="35"/>
        <v>111007.93320000001</v>
      </c>
      <c r="R100" s="213">
        <v>1</v>
      </c>
      <c r="S100" s="70">
        <f t="shared" si="36"/>
        <v>111007.93320000001</v>
      </c>
      <c r="T100" s="213">
        <v>1</v>
      </c>
      <c r="U100" s="70">
        <f t="shared" si="37"/>
        <v>111007.93320000001</v>
      </c>
      <c r="V100" s="213">
        <v>1</v>
      </c>
      <c r="W100" s="70">
        <f t="shared" si="38"/>
        <v>111007.93320000001</v>
      </c>
      <c r="X100" s="213">
        <v>1</v>
      </c>
      <c r="Y100" s="70">
        <f t="shared" si="39"/>
        <v>111007.93320000001</v>
      </c>
      <c r="Z100" s="213">
        <v>1</v>
      </c>
      <c r="AA100" s="70">
        <f t="shared" si="40"/>
        <v>166511.89980000001</v>
      </c>
      <c r="AB100" s="231">
        <f t="shared" si="41"/>
        <v>1443103.1316000002</v>
      </c>
    </row>
    <row r="101" spans="3:28" x14ac:dyDescent="0.3">
      <c r="C101" s="139" t="s">
        <v>147</v>
      </c>
      <c r="D101" s="213">
        <v>1</v>
      </c>
      <c r="E101" s="70">
        <f t="shared" si="29"/>
        <v>90184.482300000018</v>
      </c>
      <c r="F101" s="213">
        <v>1</v>
      </c>
      <c r="G101" s="70">
        <f t="shared" si="30"/>
        <v>90184.482300000018</v>
      </c>
      <c r="H101" s="213">
        <v>1</v>
      </c>
      <c r="I101" s="70">
        <f t="shared" si="31"/>
        <v>90184.482300000018</v>
      </c>
      <c r="J101" s="213">
        <v>1</v>
      </c>
      <c r="K101" s="70">
        <f t="shared" si="32"/>
        <v>90184.482300000018</v>
      </c>
      <c r="L101" s="213">
        <v>1</v>
      </c>
      <c r="M101" s="70">
        <f t="shared" si="33"/>
        <v>90184.482300000018</v>
      </c>
      <c r="N101" s="213">
        <v>1</v>
      </c>
      <c r="O101" s="70">
        <f t="shared" si="34"/>
        <v>135276.72345000002</v>
      </c>
      <c r="P101" s="213">
        <v>1</v>
      </c>
      <c r="Q101" s="70">
        <f t="shared" si="35"/>
        <v>90184.482300000018</v>
      </c>
      <c r="R101" s="213">
        <v>1</v>
      </c>
      <c r="S101" s="70">
        <f t="shared" si="36"/>
        <v>90184.482300000018</v>
      </c>
      <c r="T101" s="213">
        <v>1</v>
      </c>
      <c r="U101" s="70">
        <f t="shared" si="37"/>
        <v>90184.482300000018</v>
      </c>
      <c r="V101" s="213">
        <v>1</v>
      </c>
      <c r="W101" s="70">
        <f t="shared" si="38"/>
        <v>90184.482300000018</v>
      </c>
      <c r="X101" s="213">
        <v>1</v>
      </c>
      <c r="Y101" s="70">
        <f t="shared" si="39"/>
        <v>90184.482300000018</v>
      </c>
      <c r="Z101" s="213">
        <v>1</v>
      </c>
      <c r="AA101" s="70">
        <f t="shared" si="40"/>
        <v>135276.72345000002</v>
      </c>
      <c r="AB101" s="231">
        <f t="shared" si="41"/>
        <v>1172398.2699000002</v>
      </c>
    </row>
    <row r="102" spans="3:28" x14ac:dyDescent="0.3">
      <c r="C102" s="139" t="s">
        <v>148</v>
      </c>
      <c r="D102" s="213">
        <v>1</v>
      </c>
      <c r="E102" s="70">
        <f t="shared" si="29"/>
        <v>111007.93320000001</v>
      </c>
      <c r="F102" s="213">
        <v>1</v>
      </c>
      <c r="G102" s="70">
        <f t="shared" si="30"/>
        <v>111007.93320000001</v>
      </c>
      <c r="H102" s="213">
        <v>1</v>
      </c>
      <c r="I102" s="70">
        <f t="shared" si="31"/>
        <v>111007.93320000001</v>
      </c>
      <c r="J102" s="213">
        <v>1</v>
      </c>
      <c r="K102" s="70">
        <f t="shared" si="32"/>
        <v>111007.93320000001</v>
      </c>
      <c r="L102" s="213">
        <v>1</v>
      </c>
      <c r="M102" s="70">
        <f t="shared" si="33"/>
        <v>111007.93320000001</v>
      </c>
      <c r="N102" s="213">
        <v>1</v>
      </c>
      <c r="O102" s="70">
        <f t="shared" si="34"/>
        <v>166511.89980000001</v>
      </c>
      <c r="P102" s="213">
        <v>1</v>
      </c>
      <c r="Q102" s="70">
        <f t="shared" si="35"/>
        <v>111007.93320000001</v>
      </c>
      <c r="R102" s="213">
        <v>1</v>
      </c>
      <c r="S102" s="70">
        <f t="shared" si="36"/>
        <v>111007.93320000001</v>
      </c>
      <c r="T102" s="213">
        <v>1</v>
      </c>
      <c r="U102" s="70">
        <f t="shared" si="37"/>
        <v>111007.93320000001</v>
      </c>
      <c r="V102" s="213">
        <v>1</v>
      </c>
      <c r="W102" s="70">
        <f t="shared" si="38"/>
        <v>111007.93320000001</v>
      </c>
      <c r="X102" s="213">
        <v>1</v>
      </c>
      <c r="Y102" s="70">
        <f t="shared" si="39"/>
        <v>111007.93320000001</v>
      </c>
      <c r="Z102" s="213">
        <v>1</v>
      </c>
      <c r="AA102" s="70">
        <f t="shared" si="40"/>
        <v>166511.89980000001</v>
      </c>
      <c r="AB102" s="231">
        <f t="shared" si="41"/>
        <v>1443103.1316000002</v>
      </c>
    </row>
    <row r="103" spans="3:28" x14ac:dyDescent="0.3">
      <c r="C103" s="139" t="s">
        <v>149</v>
      </c>
      <c r="D103" s="213">
        <v>3</v>
      </c>
      <c r="E103" s="70">
        <f t="shared" si="29"/>
        <v>193269.2445</v>
      </c>
      <c r="F103" s="213">
        <v>3</v>
      </c>
      <c r="G103" s="70">
        <f t="shared" si="30"/>
        <v>193269.2445</v>
      </c>
      <c r="H103" s="213">
        <v>3</v>
      </c>
      <c r="I103" s="70">
        <f t="shared" si="31"/>
        <v>193269.2445</v>
      </c>
      <c r="J103" s="213">
        <v>3</v>
      </c>
      <c r="K103" s="70">
        <f t="shared" si="32"/>
        <v>193269.2445</v>
      </c>
      <c r="L103" s="213">
        <v>3</v>
      </c>
      <c r="M103" s="70">
        <f t="shared" si="33"/>
        <v>193269.2445</v>
      </c>
      <c r="N103" s="213">
        <v>3</v>
      </c>
      <c r="O103" s="70">
        <f t="shared" si="34"/>
        <v>289903.86674999999</v>
      </c>
      <c r="P103" s="213">
        <v>3</v>
      </c>
      <c r="Q103" s="70">
        <f t="shared" si="35"/>
        <v>193269.2445</v>
      </c>
      <c r="R103" s="213">
        <v>3</v>
      </c>
      <c r="S103" s="70">
        <f t="shared" si="36"/>
        <v>193269.2445</v>
      </c>
      <c r="T103" s="213">
        <v>3</v>
      </c>
      <c r="U103" s="70">
        <f t="shared" si="37"/>
        <v>193269.2445</v>
      </c>
      <c r="V103" s="213">
        <v>3</v>
      </c>
      <c r="W103" s="70">
        <f t="shared" si="38"/>
        <v>193269.2445</v>
      </c>
      <c r="X103" s="213">
        <v>3</v>
      </c>
      <c r="Y103" s="70">
        <f t="shared" si="39"/>
        <v>193269.2445</v>
      </c>
      <c r="Z103" s="213">
        <v>3</v>
      </c>
      <c r="AA103" s="70">
        <f t="shared" si="40"/>
        <v>289903.86674999999</v>
      </c>
      <c r="AB103" s="231">
        <f t="shared" si="41"/>
        <v>2512500.1784999999</v>
      </c>
    </row>
    <row r="104" spans="3:28" x14ac:dyDescent="0.3">
      <c r="C104" s="139" t="s">
        <v>150</v>
      </c>
      <c r="D104" s="213">
        <v>1</v>
      </c>
      <c r="E104" s="70">
        <f t="shared" si="29"/>
        <v>134661.27449999997</v>
      </c>
      <c r="F104" s="213">
        <v>1</v>
      </c>
      <c r="G104" s="70">
        <f t="shared" si="30"/>
        <v>134661.27449999997</v>
      </c>
      <c r="H104" s="213">
        <v>1</v>
      </c>
      <c r="I104" s="70">
        <f t="shared" si="31"/>
        <v>134661.27449999997</v>
      </c>
      <c r="J104" s="213">
        <v>1</v>
      </c>
      <c r="K104" s="70">
        <f t="shared" si="32"/>
        <v>134661.27449999997</v>
      </c>
      <c r="L104" s="213">
        <v>1</v>
      </c>
      <c r="M104" s="70">
        <f t="shared" si="33"/>
        <v>134661.27449999997</v>
      </c>
      <c r="N104" s="213">
        <v>1</v>
      </c>
      <c r="O104" s="70">
        <f t="shared" si="34"/>
        <v>201991.91174999997</v>
      </c>
      <c r="P104" s="213">
        <v>1</v>
      </c>
      <c r="Q104" s="70">
        <f t="shared" si="35"/>
        <v>134661.27449999997</v>
      </c>
      <c r="R104" s="213">
        <v>1</v>
      </c>
      <c r="S104" s="70">
        <f t="shared" si="36"/>
        <v>134661.27449999997</v>
      </c>
      <c r="T104" s="213">
        <v>1</v>
      </c>
      <c r="U104" s="70">
        <f t="shared" si="37"/>
        <v>134661.27449999997</v>
      </c>
      <c r="V104" s="213">
        <v>1</v>
      </c>
      <c r="W104" s="70">
        <f t="shared" si="38"/>
        <v>134661.27449999997</v>
      </c>
      <c r="X104" s="213">
        <v>1</v>
      </c>
      <c r="Y104" s="70">
        <f t="shared" si="39"/>
        <v>134661.27449999997</v>
      </c>
      <c r="Z104" s="213">
        <v>1</v>
      </c>
      <c r="AA104" s="70">
        <f t="shared" si="40"/>
        <v>201991.91174999997</v>
      </c>
      <c r="AB104" s="231">
        <f t="shared" si="41"/>
        <v>1750596.5684999998</v>
      </c>
    </row>
    <row r="105" spans="3:28" x14ac:dyDescent="0.3">
      <c r="C105" s="139" t="s">
        <v>152</v>
      </c>
      <c r="D105" s="213">
        <v>2</v>
      </c>
      <c r="E105" s="70">
        <f t="shared" si="29"/>
        <v>222015.86640000003</v>
      </c>
      <c r="F105" s="213">
        <v>2</v>
      </c>
      <c r="G105" s="70">
        <f t="shared" si="30"/>
        <v>222015.86640000003</v>
      </c>
      <c r="H105" s="213">
        <v>2</v>
      </c>
      <c r="I105" s="70">
        <f t="shared" si="31"/>
        <v>222015.86640000003</v>
      </c>
      <c r="J105" s="213">
        <v>2</v>
      </c>
      <c r="K105" s="70">
        <f t="shared" si="32"/>
        <v>222015.86640000003</v>
      </c>
      <c r="L105" s="213">
        <v>2</v>
      </c>
      <c r="M105" s="70">
        <f t="shared" si="33"/>
        <v>222015.86640000003</v>
      </c>
      <c r="N105" s="213">
        <v>2</v>
      </c>
      <c r="O105" s="70">
        <f t="shared" si="34"/>
        <v>333023.79960000003</v>
      </c>
      <c r="P105" s="213">
        <v>2</v>
      </c>
      <c r="Q105" s="70">
        <f t="shared" si="35"/>
        <v>222015.86640000003</v>
      </c>
      <c r="R105" s="213">
        <v>2</v>
      </c>
      <c r="S105" s="70">
        <f t="shared" si="36"/>
        <v>222015.86640000003</v>
      </c>
      <c r="T105" s="213">
        <v>2</v>
      </c>
      <c r="U105" s="70">
        <f t="shared" si="37"/>
        <v>222015.86640000003</v>
      </c>
      <c r="V105" s="213">
        <v>2</v>
      </c>
      <c r="W105" s="70">
        <f t="shared" si="38"/>
        <v>222015.86640000003</v>
      </c>
      <c r="X105" s="213">
        <v>2</v>
      </c>
      <c r="Y105" s="70">
        <f t="shared" si="39"/>
        <v>222015.86640000003</v>
      </c>
      <c r="Z105" s="213">
        <v>2</v>
      </c>
      <c r="AA105" s="70">
        <f t="shared" si="40"/>
        <v>333023.79960000003</v>
      </c>
      <c r="AB105" s="231">
        <f t="shared" si="41"/>
        <v>2886206.2632000004</v>
      </c>
    </row>
    <row r="106" spans="3:28" x14ac:dyDescent="0.3">
      <c r="C106" s="139" t="s">
        <v>151</v>
      </c>
      <c r="D106" s="213">
        <v>1</v>
      </c>
      <c r="E106" s="70">
        <f t="shared" si="29"/>
        <v>134661.27449999997</v>
      </c>
      <c r="F106" s="213">
        <v>1</v>
      </c>
      <c r="G106" s="70">
        <f t="shared" si="30"/>
        <v>134661.27449999997</v>
      </c>
      <c r="H106" s="213">
        <v>1</v>
      </c>
      <c r="I106" s="70">
        <f t="shared" si="31"/>
        <v>134661.27449999997</v>
      </c>
      <c r="J106" s="213">
        <v>1</v>
      </c>
      <c r="K106" s="70">
        <f t="shared" si="32"/>
        <v>134661.27449999997</v>
      </c>
      <c r="L106" s="213">
        <v>1</v>
      </c>
      <c r="M106" s="70">
        <f t="shared" si="33"/>
        <v>134661.27449999997</v>
      </c>
      <c r="N106" s="213">
        <v>1</v>
      </c>
      <c r="O106" s="70">
        <f t="shared" si="34"/>
        <v>201991.91174999997</v>
      </c>
      <c r="P106" s="213">
        <v>1</v>
      </c>
      <c r="Q106" s="70">
        <f t="shared" si="35"/>
        <v>134661.27449999997</v>
      </c>
      <c r="R106" s="213">
        <v>1</v>
      </c>
      <c r="S106" s="70">
        <f t="shared" si="36"/>
        <v>134661.27449999997</v>
      </c>
      <c r="T106" s="213">
        <v>1</v>
      </c>
      <c r="U106" s="70">
        <f t="shared" si="37"/>
        <v>134661.27449999997</v>
      </c>
      <c r="V106" s="213">
        <v>1</v>
      </c>
      <c r="W106" s="70">
        <f t="shared" si="38"/>
        <v>134661.27449999997</v>
      </c>
      <c r="X106" s="213">
        <v>1</v>
      </c>
      <c r="Y106" s="70">
        <f t="shared" si="39"/>
        <v>134661.27449999997</v>
      </c>
      <c r="Z106" s="213">
        <v>1</v>
      </c>
      <c r="AA106" s="70">
        <f t="shared" si="40"/>
        <v>201991.91174999997</v>
      </c>
      <c r="AB106" s="231">
        <f t="shared" si="41"/>
        <v>1750596.5684999998</v>
      </c>
    </row>
    <row r="107" spans="3:28" x14ac:dyDescent="0.3">
      <c r="C107" s="139" t="s">
        <v>153</v>
      </c>
      <c r="D107" s="213">
        <v>1</v>
      </c>
      <c r="E107" s="70">
        <f t="shared" si="29"/>
        <v>94473.698099999994</v>
      </c>
      <c r="F107" s="213">
        <v>1</v>
      </c>
      <c r="G107" s="70">
        <f t="shared" si="30"/>
        <v>94473.698099999994</v>
      </c>
      <c r="H107" s="213">
        <v>1</v>
      </c>
      <c r="I107" s="70">
        <f t="shared" si="31"/>
        <v>94473.698099999994</v>
      </c>
      <c r="J107" s="213">
        <v>1</v>
      </c>
      <c r="K107" s="70">
        <f t="shared" si="32"/>
        <v>94473.698099999994</v>
      </c>
      <c r="L107" s="213">
        <v>1</v>
      </c>
      <c r="M107" s="70">
        <f t="shared" si="33"/>
        <v>94473.698099999994</v>
      </c>
      <c r="N107" s="213">
        <v>1</v>
      </c>
      <c r="O107" s="70">
        <f t="shared" si="34"/>
        <v>141710.54715</v>
      </c>
      <c r="P107" s="213">
        <v>1</v>
      </c>
      <c r="Q107" s="70">
        <f t="shared" si="35"/>
        <v>94473.698099999994</v>
      </c>
      <c r="R107" s="213">
        <v>1</v>
      </c>
      <c r="S107" s="70">
        <f t="shared" si="36"/>
        <v>94473.698099999994</v>
      </c>
      <c r="T107" s="213">
        <v>1</v>
      </c>
      <c r="U107" s="70">
        <f t="shared" si="37"/>
        <v>94473.698099999994</v>
      </c>
      <c r="V107" s="213">
        <v>1</v>
      </c>
      <c r="W107" s="70">
        <f t="shared" si="38"/>
        <v>94473.698099999994</v>
      </c>
      <c r="X107" s="213">
        <v>1</v>
      </c>
      <c r="Y107" s="70">
        <f t="shared" si="39"/>
        <v>94473.698099999994</v>
      </c>
      <c r="Z107" s="213">
        <v>1</v>
      </c>
      <c r="AA107" s="70">
        <f t="shared" si="40"/>
        <v>141710.54715</v>
      </c>
      <c r="AB107" s="231">
        <f t="shared" si="41"/>
        <v>1228158.0753000001</v>
      </c>
    </row>
    <row r="108" spans="3:28" x14ac:dyDescent="0.3">
      <c r="C108" s="139" t="s">
        <v>160</v>
      </c>
      <c r="D108" s="61">
        <v>1</v>
      </c>
      <c r="E108" s="70">
        <f t="shared" si="29"/>
        <v>87216.230100000001</v>
      </c>
      <c r="F108" s="213">
        <v>1</v>
      </c>
      <c r="G108" s="70">
        <f t="shared" si="30"/>
        <v>87216.230100000001</v>
      </c>
      <c r="H108" s="213">
        <v>1</v>
      </c>
      <c r="I108" s="70">
        <f t="shared" si="31"/>
        <v>87216.230100000001</v>
      </c>
      <c r="J108" s="213">
        <v>1</v>
      </c>
      <c r="K108" s="70">
        <f t="shared" si="32"/>
        <v>87216.230100000001</v>
      </c>
      <c r="L108" s="213">
        <v>1</v>
      </c>
      <c r="M108" s="70">
        <f t="shared" si="33"/>
        <v>87216.230100000001</v>
      </c>
      <c r="N108" s="213">
        <v>1</v>
      </c>
      <c r="O108" s="70">
        <f t="shared" si="34"/>
        <v>130824.34515000001</v>
      </c>
      <c r="P108" s="213">
        <v>1</v>
      </c>
      <c r="Q108" s="70">
        <f t="shared" si="35"/>
        <v>87216.230100000001</v>
      </c>
      <c r="R108" s="213">
        <v>1</v>
      </c>
      <c r="S108" s="70">
        <f t="shared" si="36"/>
        <v>87216.230100000001</v>
      </c>
      <c r="T108" s="213">
        <v>1</v>
      </c>
      <c r="U108" s="70">
        <f t="shared" si="37"/>
        <v>87216.230100000001</v>
      </c>
      <c r="V108" s="213">
        <v>1</v>
      </c>
      <c r="W108" s="70">
        <f t="shared" si="38"/>
        <v>87216.230100000001</v>
      </c>
      <c r="X108" s="213">
        <v>1</v>
      </c>
      <c r="Y108" s="70">
        <f t="shared" si="39"/>
        <v>87216.230100000001</v>
      </c>
      <c r="Z108" s="213">
        <v>1</v>
      </c>
      <c r="AA108" s="70">
        <f t="shared" si="40"/>
        <v>130824.34515000001</v>
      </c>
      <c r="AB108" s="231">
        <f t="shared" si="41"/>
        <v>1133810.9913000001</v>
      </c>
    </row>
    <row r="109" spans="3:28" x14ac:dyDescent="0.3">
      <c r="C109" s="139" t="s">
        <v>240</v>
      </c>
      <c r="D109" s="213">
        <v>0</v>
      </c>
      <c r="E109" s="70">
        <f t="shared" si="29"/>
        <v>0</v>
      </c>
      <c r="F109" s="213">
        <v>0</v>
      </c>
      <c r="G109" s="70">
        <f t="shared" si="30"/>
        <v>0</v>
      </c>
      <c r="H109" s="250">
        <v>2</v>
      </c>
      <c r="I109" s="70">
        <f t="shared" si="31"/>
        <v>222015.86640000003</v>
      </c>
      <c r="J109" s="61">
        <v>2</v>
      </c>
      <c r="K109" s="70">
        <f t="shared" si="32"/>
        <v>222015.86640000003</v>
      </c>
      <c r="L109" s="61">
        <v>2</v>
      </c>
      <c r="M109" s="70">
        <f t="shared" si="33"/>
        <v>222015.86640000003</v>
      </c>
      <c r="N109" s="61">
        <v>2</v>
      </c>
      <c r="O109" s="70">
        <f t="shared" si="34"/>
        <v>333023.79960000003</v>
      </c>
      <c r="P109" s="61">
        <v>2</v>
      </c>
      <c r="Q109" s="70">
        <f t="shared" si="35"/>
        <v>222015.86640000003</v>
      </c>
      <c r="R109" s="61">
        <v>2</v>
      </c>
      <c r="S109" s="70">
        <f t="shared" si="36"/>
        <v>222015.86640000003</v>
      </c>
      <c r="T109" s="61">
        <v>2</v>
      </c>
      <c r="U109" s="70">
        <f t="shared" si="37"/>
        <v>222015.86640000003</v>
      </c>
      <c r="V109" s="61">
        <v>2</v>
      </c>
      <c r="W109" s="70">
        <f t="shared" si="38"/>
        <v>222015.86640000003</v>
      </c>
      <c r="X109" s="61">
        <v>2</v>
      </c>
      <c r="Y109" s="70">
        <f t="shared" si="39"/>
        <v>222015.86640000003</v>
      </c>
      <c r="Z109" s="61">
        <v>2</v>
      </c>
      <c r="AA109" s="70">
        <f t="shared" si="40"/>
        <v>333023.79960000003</v>
      </c>
      <c r="AB109" s="231">
        <f t="shared" si="41"/>
        <v>2442174.5304</v>
      </c>
    </row>
    <row r="110" spans="3:28" x14ac:dyDescent="0.3">
      <c r="C110" s="139" t="s">
        <v>241</v>
      </c>
      <c r="D110" s="213">
        <v>0</v>
      </c>
      <c r="E110" s="70">
        <f t="shared" si="29"/>
        <v>0</v>
      </c>
      <c r="F110" s="213">
        <v>0</v>
      </c>
      <c r="G110" s="70">
        <f t="shared" si="30"/>
        <v>0</v>
      </c>
      <c r="H110" s="250">
        <v>2</v>
      </c>
      <c r="I110" s="70">
        <f t="shared" si="31"/>
        <v>174432.4602</v>
      </c>
      <c r="J110" s="61">
        <v>2</v>
      </c>
      <c r="K110" s="70">
        <f t="shared" si="32"/>
        <v>174432.4602</v>
      </c>
      <c r="L110" s="61">
        <v>2</v>
      </c>
      <c r="M110" s="70">
        <f t="shared" si="33"/>
        <v>174432.4602</v>
      </c>
      <c r="N110" s="61">
        <v>2</v>
      </c>
      <c r="O110" s="70">
        <f t="shared" si="34"/>
        <v>261648.69030000002</v>
      </c>
      <c r="P110" s="61">
        <v>2</v>
      </c>
      <c r="Q110" s="70">
        <f t="shared" si="35"/>
        <v>174432.4602</v>
      </c>
      <c r="R110" s="61">
        <v>2</v>
      </c>
      <c r="S110" s="70">
        <f t="shared" si="36"/>
        <v>174432.4602</v>
      </c>
      <c r="T110" s="61">
        <v>2</v>
      </c>
      <c r="U110" s="70">
        <f t="shared" si="37"/>
        <v>174432.4602</v>
      </c>
      <c r="V110" s="61">
        <v>2</v>
      </c>
      <c r="W110" s="70">
        <f t="shared" si="38"/>
        <v>174432.4602</v>
      </c>
      <c r="X110" s="61">
        <v>2</v>
      </c>
      <c r="Y110" s="70">
        <f t="shared" si="39"/>
        <v>174432.4602</v>
      </c>
      <c r="Z110" s="61">
        <v>2</v>
      </c>
      <c r="AA110" s="70">
        <f t="shared" si="40"/>
        <v>261648.69030000002</v>
      </c>
      <c r="AB110" s="231">
        <f t="shared" si="41"/>
        <v>1918757.0622000005</v>
      </c>
    </row>
    <row r="111" spans="3:28" ht="15" thickBot="1" x14ac:dyDescent="0.35">
      <c r="C111" s="227" t="s">
        <v>242</v>
      </c>
      <c r="D111" s="250">
        <v>30</v>
      </c>
      <c r="E111" s="70">
        <f t="shared" si="29"/>
        <v>1732355.0009999997</v>
      </c>
      <c r="F111" s="249">
        <v>30</v>
      </c>
      <c r="G111" s="70">
        <f t="shared" si="30"/>
        <v>1732355.0009999997</v>
      </c>
      <c r="H111" s="213">
        <v>30</v>
      </c>
      <c r="I111" s="70">
        <f t="shared" si="31"/>
        <v>1732355.0009999997</v>
      </c>
      <c r="J111" s="213">
        <v>30</v>
      </c>
      <c r="K111" s="70">
        <f t="shared" si="32"/>
        <v>1732355.0009999997</v>
      </c>
      <c r="L111" s="213">
        <v>30</v>
      </c>
      <c r="M111" s="70">
        <f t="shared" si="33"/>
        <v>1732355.0009999997</v>
      </c>
      <c r="N111" s="213">
        <v>30</v>
      </c>
      <c r="O111" s="70">
        <f t="shared" si="34"/>
        <v>2598532.5014999993</v>
      </c>
      <c r="P111" s="213">
        <v>30</v>
      </c>
      <c r="Q111" s="70">
        <f t="shared" si="35"/>
        <v>1732355.0009999997</v>
      </c>
      <c r="R111" s="213">
        <v>30</v>
      </c>
      <c r="S111" s="70">
        <f>R111*L33</f>
        <v>1732355.0009999997</v>
      </c>
      <c r="T111" s="213">
        <v>30</v>
      </c>
      <c r="U111" s="70">
        <f t="shared" si="37"/>
        <v>1732355.0009999997</v>
      </c>
      <c r="V111" s="213">
        <v>30</v>
      </c>
      <c r="W111" s="70">
        <f t="shared" si="38"/>
        <v>1732355.0009999997</v>
      </c>
      <c r="X111" s="213">
        <v>30</v>
      </c>
      <c r="Y111" s="70">
        <f t="shared" si="39"/>
        <v>1732355.0009999997</v>
      </c>
      <c r="Z111" s="213">
        <v>30</v>
      </c>
      <c r="AA111" s="70">
        <f t="shared" si="40"/>
        <v>2598532.5014999993</v>
      </c>
      <c r="AB111" s="231">
        <f t="shared" si="41"/>
        <v>22520615.012999997</v>
      </c>
    </row>
    <row r="112" spans="3:28" ht="16.2" thickBot="1" x14ac:dyDescent="0.35">
      <c r="C112" s="248" t="s">
        <v>235</v>
      </c>
      <c r="D112" s="247">
        <f>SUM(D91:D111)</f>
        <v>56</v>
      </c>
      <c r="E112" s="233">
        <f t="shared" ref="E112:AA112" si="42">SUM(E91:E111)</f>
        <v>4666711.1705999989</v>
      </c>
      <c r="F112" s="232">
        <f t="shared" si="42"/>
        <v>56</v>
      </c>
      <c r="G112" s="233">
        <f t="shared" si="42"/>
        <v>4666711.1705999989</v>
      </c>
      <c r="H112" s="232">
        <f t="shared" si="42"/>
        <v>60</v>
      </c>
      <c r="I112" s="233">
        <f t="shared" si="42"/>
        <v>5063159.4971999992</v>
      </c>
      <c r="J112" s="232">
        <f t="shared" si="42"/>
        <v>60</v>
      </c>
      <c r="K112" s="233">
        <f t="shared" si="42"/>
        <v>5063159.4971999992</v>
      </c>
      <c r="L112" s="232">
        <f t="shared" si="42"/>
        <v>60</v>
      </c>
      <c r="M112" s="233">
        <f t="shared" si="42"/>
        <v>5063159.4971999992</v>
      </c>
      <c r="N112" s="232">
        <f t="shared" si="42"/>
        <v>60</v>
      </c>
      <c r="O112" s="233">
        <f t="shared" si="42"/>
        <v>7594739.2458000006</v>
      </c>
      <c r="P112" s="232">
        <f t="shared" si="42"/>
        <v>60</v>
      </c>
      <c r="Q112" s="233">
        <f t="shared" si="42"/>
        <v>5063159.4971999992</v>
      </c>
      <c r="R112" s="232">
        <f t="shared" si="42"/>
        <v>60</v>
      </c>
      <c r="S112" s="233">
        <f t="shared" si="42"/>
        <v>5063159.4971999992</v>
      </c>
      <c r="T112" s="232">
        <f t="shared" si="42"/>
        <v>60</v>
      </c>
      <c r="U112" s="233">
        <f t="shared" si="42"/>
        <v>5063159.4971999992</v>
      </c>
      <c r="V112" s="232">
        <f t="shared" si="42"/>
        <v>60</v>
      </c>
      <c r="W112" s="233">
        <f t="shared" si="42"/>
        <v>5063159.4971999992</v>
      </c>
      <c r="X112" s="232">
        <f t="shared" si="42"/>
        <v>60</v>
      </c>
      <c r="Y112" s="233">
        <f t="shared" si="42"/>
        <v>5063159.4971999992</v>
      </c>
      <c r="Z112" s="232">
        <f t="shared" si="42"/>
        <v>60</v>
      </c>
      <c r="AA112" s="233">
        <f t="shared" si="42"/>
        <v>7594739.2458000006</v>
      </c>
      <c r="AB112" s="214">
        <f>AA112+Y112+W112+U112+S112+Q112+O112+M112+K112+I112+G112+E112</f>
        <v>65028176.810399979</v>
      </c>
    </row>
  </sheetData>
  <mergeCells count="56">
    <mergeCell ref="E3:G3"/>
    <mergeCell ref="E1:K1"/>
    <mergeCell ref="P37:Q37"/>
    <mergeCell ref="R37:S37"/>
    <mergeCell ref="T37:U37"/>
    <mergeCell ref="C10:L10"/>
    <mergeCell ref="C11:C12"/>
    <mergeCell ref="D11:D12"/>
    <mergeCell ref="L11:L12"/>
    <mergeCell ref="I3:L3"/>
    <mergeCell ref="K4:L4"/>
    <mergeCell ref="K5:L5"/>
    <mergeCell ref="K6:L6"/>
    <mergeCell ref="K7:L7"/>
    <mergeCell ref="V89:W89"/>
    <mergeCell ref="X89:Y89"/>
    <mergeCell ref="Z89:AA89"/>
    <mergeCell ref="AB89:AB90"/>
    <mergeCell ref="C62:AB62"/>
    <mergeCell ref="C63:C64"/>
    <mergeCell ref="D63:E63"/>
    <mergeCell ref="F63:G63"/>
    <mergeCell ref="H63:I63"/>
    <mergeCell ref="J63:K63"/>
    <mergeCell ref="L63:M63"/>
    <mergeCell ref="N63:O63"/>
    <mergeCell ref="P63:Q63"/>
    <mergeCell ref="R63:S63"/>
    <mergeCell ref="T63:U63"/>
    <mergeCell ref="V63:W63"/>
    <mergeCell ref="L89:M89"/>
    <mergeCell ref="N89:O89"/>
    <mergeCell ref="P89:Q89"/>
    <mergeCell ref="R89:S89"/>
    <mergeCell ref="T89:U89"/>
    <mergeCell ref="C89:C90"/>
    <mergeCell ref="D89:E89"/>
    <mergeCell ref="F89:G89"/>
    <mergeCell ref="H89:I89"/>
    <mergeCell ref="J89:K89"/>
    <mergeCell ref="C88:AB88"/>
    <mergeCell ref="X63:Y63"/>
    <mergeCell ref="Z63:AA63"/>
    <mergeCell ref="AB63:AB64"/>
    <mergeCell ref="C36:AB36"/>
    <mergeCell ref="C37:C38"/>
    <mergeCell ref="D37:E37"/>
    <mergeCell ref="F37:G37"/>
    <mergeCell ref="H37:I37"/>
    <mergeCell ref="J37:K37"/>
    <mergeCell ref="L37:M37"/>
    <mergeCell ref="N37:O37"/>
    <mergeCell ref="Z37:AA37"/>
    <mergeCell ref="AB37:AB38"/>
    <mergeCell ref="V37:W37"/>
    <mergeCell ref="X37:Y37"/>
  </mergeCells>
  <pageMargins left="0.7" right="0.7" top="0.75" bottom="0.75" header="0.3" footer="0.3"/>
  <drawing r:id="rId1"/>
  <legacyDrawing r:id="rId2"/>
  <controls>
    <mc:AlternateContent xmlns:mc="http://schemas.openxmlformats.org/markup-compatibility/2006">
      <mc:Choice Requires="x14">
        <control shapeId="12290" r:id="rId3" name="btnIndice">
          <controlPr defaultSize="0" autoLine="0" r:id="rId4">
            <anchor moveWithCells="1">
              <from>
                <xdr:col>0</xdr:col>
                <xdr:colOff>259080</xdr:colOff>
                <xdr:row>0</xdr:row>
                <xdr:rowOff>91440</xdr:rowOff>
              </from>
              <to>
                <xdr:col>2</xdr:col>
                <xdr:colOff>342900</xdr:colOff>
                <xdr:row>0</xdr:row>
                <xdr:rowOff>388620</xdr:rowOff>
              </to>
            </anchor>
          </controlPr>
        </control>
      </mc:Choice>
      <mc:Fallback>
        <control shapeId="12290" r:id="rId3" name="btnIndice"/>
      </mc:Fallback>
    </mc:AlternateContent>
    <mc:AlternateContent xmlns:mc="http://schemas.openxmlformats.org/markup-compatibility/2006">
      <mc:Choice Requires="x14">
        <control shapeId="12291" r:id="rId5" name="btnAnterior">
          <controlPr defaultSize="0" autoLine="0" r:id="rId6">
            <anchor moveWithCells="1">
              <from>
                <xdr:col>11</xdr:col>
                <xdr:colOff>60960</xdr:colOff>
                <xdr:row>0</xdr:row>
                <xdr:rowOff>99060</xdr:rowOff>
              </from>
              <to>
                <xdr:col>12</xdr:col>
                <xdr:colOff>502920</xdr:colOff>
                <xdr:row>0</xdr:row>
                <xdr:rowOff>396240</xdr:rowOff>
              </to>
            </anchor>
          </controlPr>
        </control>
      </mc:Choice>
      <mc:Fallback>
        <control shapeId="12291" r:id="rId5" name="btnAnterior"/>
      </mc:Fallback>
    </mc:AlternateContent>
    <mc:AlternateContent xmlns:mc="http://schemas.openxmlformats.org/markup-compatibility/2006">
      <mc:Choice Requires="x14">
        <control shapeId="12292" r:id="rId7" name="btnSiguiente">
          <controlPr defaultSize="0" autoLine="0" r:id="rId8">
            <anchor moveWithCells="1">
              <from>
                <xdr:col>13</xdr:col>
                <xdr:colOff>281940</xdr:colOff>
                <xdr:row>0</xdr:row>
                <xdr:rowOff>99060</xdr:rowOff>
              </from>
              <to>
                <xdr:col>15</xdr:col>
                <xdr:colOff>60960</xdr:colOff>
                <xdr:row>0</xdr:row>
                <xdr:rowOff>396240</xdr:rowOff>
              </to>
            </anchor>
          </controlPr>
        </control>
      </mc:Choice>
      <mc:Fallback>
        <control shapeId="12292" r:id="rId7" name="btnSiguien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O31"/>
  <sheetViews>
    <sheetView showGridLines="0" workbookViewId="0">
      <pane ySplit="1" topLeftCell="A17" activePane="bottomLeft" state="frozen"/>
      <selection pane="bottomLeft" activeCell="C1" sqref="C1"/>
    </sheetView>
  </sheetViews>
  <sheetFormatPr baseColWidth="10" defaultRowHeight="14.4" x14ac:dyDescent="0.3"/>
  <cols>
    <col min="3" max="3" width="17.6640625" customWidth="1"/>
    <col min="4" max="4" width="18.33203125" customWidth="1"/>
    <col min="5" max="5" width="17.44140625" customWidth="1"/>
  </cols>
  <sheetData>
    <row r="1" spans="2:15" s="442" customFormat="1" ht="46.5" customHeight="1" thickBot="1" x14ac:dyDescent="0.35">
      <c r="F1" s="840" t="s">
        <v>256</v>
      </c>
      <c r="G1" s="840"/>
      <c r="H1" s="840"/>
      <c r="I1" s="840"/>
      <c r="J1" s="840"/>
      <c r="K1" s="840"/>
      <c r="L1" s="840"/>
    </row>
    <row r="2" spans="2:15" ht="15" thickTop="1" x14ac:dyDescent="0.3"/>
    <row r="3" spans="2:15" ht="15" thickBot="1" x14ac:dyDescent="0.35"/>
    <row r="4" spans="2:15" ht="16.2" thickTop="1" x14ac:dyDescent="0.3">
      <c r="B4" s="864" t="s">
        <v>238</v>
      </c>
      <c r="C4" s="865"/>
      <c r="D4" s="868" t="s">
        <v>9</v>
      </c>
      <c r="L4" s="804" t="s">
        <v>15</v>
      </c>
      <c r="M4" s="805"/>
      <c r="N4" s="805"/>
      <c r="O4" s="759"/>
    </row>
    <row r="5" spans="2:15" ht="16.2" thickBot="1" x14ac:dyDescent="0.35">
      <c r="B5" s="866"/>
      <c r="C5" s="867"/>
      <c r="D5" s="869"/>
      <c r="L5" s="17" t="s">
        <v>7</v>
      </c>
      <c r="M5" s="16" t="s">
        <v>8</v>
      </c>
      <c r="N5" s="751" t="s">
        <v>9</v>
      </c>
      <c r="O5" s="752"/>
    </row>
    <row r="6" spans="2:15" ht="15.6" x14ac:dyDescent="0.3">
      <c r="B6" s="870" t="s">
        <v>255</v>
      </c>
      <c r="C6" s="871"/>
      <c r="D6" s="256">
        <f>'Costos fijos'!Q30</f>
        <v>7891200</v>
      </c>
      <c r="L6" s="18">
        <f>Hipótesis!B23</f>
        <v>2022</v>
      </c>
      <c r="M6" s="14">
        <f>Hipótesis!C23</f>
        <v>0.03</v>
      </c>
      <c r="N6" s="753">
        <f>Hipótesis!D23</f>
        <v>72000000</v>
      </c>
      <c r="O6" s="754"/>
    </row>
    <row r="7" spans="2:15" ht="15.6" x14ac:dyDescent="0.3">
      <c r="B7" s="872" t="s">
        <v>257</v>
      </c>
      <c r="C7" s="873"/>
      <c r="D7" s="257">
        <f>'Costos variables'!AB70</f>
        <v>9615240</v>
      </c>
      <c r="L7" s="18">
        <f>Hipótesis!B24</f>
        <v>2023</v>
      </c>
      <c r="M7" s="14">
        <f>Hipótesis!C24</f>
        <v>0.06</v>
      </c>
      <c r="N7" s="753">
        <f>Hipótesis!D24</f>
        <v>144000000</v>
      </c>
      <c r="O7" s="754"/>
    </row>
    <row r="8" spans="2:15" ht="16.2" thickBot="1" x14ac:dyDescent="0.35">
      <c r="B8" s="874" t="s">
        <v>254</v>
      </c>
      <c r="C8" s="875"/>
      <c r="D8" s="258">
        <f>'Costos RRHH'!$AB$60</f>
        <v>31080950.586450003</v>
      </c>
      <c r="L8" s="19">
        <f>Hipótesis!B25</f>
        <v>2024</v>
      </c>
      <c r="M8" s="20">
        <f>Hipótesis!C25</f>
        <v>0.1</v>
      </c>
      <c r="N8" s="755">
        <f>Hipótesis!D25</f>
        <v>240000000</v>
      </c>
      <c r="O8" s="756"/>
    </row>
    <row r="9" spans="2:15" ht="16.2" thickBot="1" x14ac:dyDescent="0.35">
      <c r="B9" s="25"/>
      <c r="C9" s="25"/>
      <c r="D9" s="259">
        <f>SUM(D6:D8)</f>
        <v>48587390.586450003</v>
      </c>
    </row>
    <row r="10" spans="2:15" ht="15" thickBot="1" x14ac:dyDescent="0.35"/>
    <row r="11" spans="2:15" x14ac:dyDescent="0.3">
      <c r="B11" s="864" t="s">
        <v>237</v>
      </c>
      <c r="C11" s="865"/>
      <c r="D11" s="868" t="s">
        <v>9</v>
      </c>
    </row>
    <row r="12" spans="2:15" ht="15" thickBot="1" x14ac:dyDescent="0.35">
      <c r="B12" s="866"/>
      <c r="C12" s="867"/>
      <c r="D12" s="869"/>
    </row>
    <row r="13" spans="2:15" ht="15.6" x14ac:dyDescent="0.3">
      <c r="B13" s="870" t="s">
        <v>255</v>
      </c>
      <c r="C13" s="871"/>
      <c r="D13" s="256">
        <f>'Costos fijos'!Q49</f>
        <v>11972400</v>
      </c>
    </row>
    <row r="14" spans="2:15" ht="15.6" x14ac:dyDescent="0.3">
      <c r="B14" s="872" t="s">
        <v>257</v>
      </c>
      <c r="C14" s="873"/>
      <c r="D14" s="257">
        <f>'Costos variables'!AB92</f>
        <v>18133720</v>
      </c>
    </row>
    <row r="15" spans="2:15" ht="16.2" thickBot="1" x14ac:dyDescent="0.35">
      <c r="B15" s="874" t="s">
        <v>254</v>
      </c>
      <c r="C15" s="875"/>
      <c r="D15" s="258">
        <f>'Costos RRHH'!$AB$86</f>
        <v>39922402.094400004</v>
      </c>
    </row>
    <row r="16" spans="2:15" ht="16.2" thickBot="1" x14ac:dyDescent="0.35">
      <c r="B16" s="25"/>
      <c r="C16" s="25"/>
      <c r="D16" s="259">
        <f>SUM(D13:D15)</f>
        <v>70028522.094400004</v>
      </c>
    </row>
    <row r="17" spans="2:5" ht="15" thickBot="1" x14ac:dyDescent="0.35"/>
    <row r="18" spans="2:5" x14ac:dyDescent="0.3">
      <c r="B18" s="864" t="s">
        <v>239</v>
      </c>
      <c r="C18" s="865"/>
      <c r="D18" s="868" t="s">
        <v>9</v>
      </c>
    </row>
    <row r="19" spans="2:5" ht="15" thickBot="1" x14ac:dyDescent="0.35">
      <c r="B19" s="866"/>
      <c r="C19" s="867"/>
      <c r="D19" s="869"/>
    </row>
    <row r="20" spans="2:5" ht="15.6" x14ac:dyDescent="0.3">
      <c r="B20" s="870" t="s">
        <v>255</v>
      </c>
      <c r="C20" s="871"/>
      <c r="D20" s="256">
        <f>'Costos fijos'!Q68</f>
        <v>18914400</v>
      </c>
    </row>
    <row r="21" spans="2:5" ht="15.6" x14ac:dyDescent="0.3">
      <c r="B21" s="872" t="s">
        <v>257</v>
      </c>
      <c r="C21" s="873"/>
      <c r="D21" s="257">
        <f>'Costos variables'!AB114</f>
        <v>27417700</v>
      </c>
    </row>
    <row r="22" spans="2:5" ht="16.2" thickBot="1" x14ac:dyDescent="0.35">
      <c r="B22" s="874" t="s">
        <v>254</v>
      </c>
      <c r="C22" s="875"/>
      <c r="D22" s="258">
        <f>'Costos RRHH'!$AB$112</f>
        <v>65028176.810399979</v>
      </c>
    </row>
    <row r="23" spans="2:5" ht="16.2" thickBot="1" x14ac:dyDescent="0.35">
      <c r="B23" s="25"/>
      <c r="C23" s="25"/>
      <c r="D23" s="259">
        <f>SUM(D20:D22)</f>
        <v>111360276.81039998</v>
      </c>
    </row>
    <row r="24" spans="2:5" ht="15" thickBot="1" x14ac:dyDescent="0.35"/>
    <row r="25" spans="2:5" ht="15.6" x14ac:dyDescent="0.3">
      <c r="B25" s="25"/>
      <c r="C25" s="852" t="s">
        <v>258</v>
      </c>
      <c r="D25" s="853"/>
      <c r="E25" s="854"/>
    </row>
    <row r="26" spans="2:5" x14ac:dyDescent="0.3">
      <c r="B26" s="25"/>
      <c r="C26" s="217" t="s">
        <v>249</v>
      </c>
      <c r="D26" s="218" t="s">
        <v>250</v>
      </c>
      <c r="E26" s="219" t="s">
        <v>251</v>
      </c>
    </row>
    <row r="27" spans="2:5" ht="15" thickBot="1" x14ac:dyDescent="0.35">
      <c r="B27" s="25"/>
      <c r="C27" s="262" t="s">
        <v>259</v>
      </c>
      <c r="D27" s="260" t="s">
        <v>9</v>
      </c>
      <c r="E27" s="261" t="s">
        <v>259</v>
      </c>
    </row>
    <row r="28" spans="2:5" ht="16.2" thickBot="1" x14ac:dyDescent="0.35">
      <c r="B28" s="252" t="s">
        <v>252</v>
      </c>
      <c r="C28" s="253">
        <f>D6</f>
        <v>7891200</v>
      </c>
      <c r="D28" s="254">
        <f>D13</f>
        <v>11972400</v>
      </c>
      <c r="E28" s="255">
        <f>D20</f>
        <v>18914400</v>
      </c>
    </row>
    <row r="29" spans="2:5" ht="16.2" thickBot="1" x14ac:dyDescent="0.35">
      <c r="B29" s="252" t="s">
        <v>253</v>
      </c>
      <c r="C29" s="253">
        <f>D7</f>
        <v>9615240</v>
      </c>
      <c r="D29" s="254">
        <f>D14</f>
        <v>18133720</v>
      </c>
      <c r="E29" s="255">
        <f>D21</f>
        <v>27417700</v>
      </c>
    </row>
    <row r="30" spans="2:5" ht="16.2" thickBot="1" x14ac:dyDescent="0.35">
      <c r="B30" s="252" t="s">
        <v>254</v>
      </c>
      <c r="C30" s="253">
        <f>D8</f>
        <v>31080950.586450003</v>
      </c>
      <c r="D30" s="254">
        <f>D15</f>
        <v>39922402.094400004</v>
      </c>
      <c r="E30" s="255">
        <f>D22</f>
        <v>65028176.810399979</v>
      </c>
    </row>
    <row r="31" spans="2:5" ht="16.2" thickBot="1" x14ac:dyDescent="0.35">
      <c r="B31" s="252" t="s">
        <v>9</v>
      </c>
      <c r="C31" s="253">
        <f>D9</f>
        <v>48587390.586450003</v>
      </c>
      <c r="D31" s="254">
        <f>D16</f>
        <v>70028522.094400004</v>
      </c>
      <c r="E31" s="255">
        <f>D23</f>
        <v>111360276.81039998</v>
      </c>
    </row>
  </sheetData>
  <mergeCells count="22">
    <mergeCell ref="C25:E25"/>
    <mergeCell ref="B4:C5"/>
    <mergeCell ref="D4:D5"/>
    <mergeCell ref="B6:C6"/>
    <mergeCell ref="B7:C7"/>
    <mergeCell ref="B8:C8"/>
    <mergeCell ref="D18:D19"/>
    <mergeCell ref="B20:C20"/>
    <mergeCell ref="B21:C21"/>
    <mergeCell ref="B22:C22"/>
    <mergeCell ref="B15:C15"/>
    <mergeCell ref="B18:C19"/>
    <mergeCell ref="F1:L1"/>
    <mergeCell ref="L4:O4"/>
    <mergeCell ref="N5:O5"/>
    <mergeCell ref="N6:O6"/>
    <mergeCell ref="N7:O7"/>
    <mergeCell ref="N8:O8"/>
    <mergeCell ref="B11:C12"/>
    <mergeCell ref="D11:D12"/>
    <mergeCell ref="B13:C13"/>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13313" r:id="rId4" name="btnIndice">
          <controlPr defaultSize="0" autoLine="0" r:id="rId5">
            <anchor moveWithCells="1">
              <from>
                <xdr:col>1</xdr:col>
                <xdr:colOff>0</xdr:colOff>
                <xdr:row>0</xdr:row>
                <xdr:rowOff>137160</xdr:rowOff>
              </from>
              <to>
                <xdr:col>2</xdr:col>
                <xdr:colOff>876300</xdr:colOff>
                <xdr:row>0</xdr:row>
                <xdr:rowOff>434340</xdr:rowOff>
              </to>
            </anchor>
          </controlPr>
        </control>
      </mc:Choice>
      <mc:Fallback>
        <control shapeId="13313" r:id="rId4" name="btnIndice"/>
      </mc:Fallback>
    </mc:AlternateContent>
    <mc:AlternateContent xmlns:mc="http://schemas.openxmlformats.org/markup-compatibility/2006">
      <mc:Choice Requires="x14">
        <control shapeId="13314" r:id="rId6" name="btnAnterior">
          <controlPr defaultSize="0" autoLine="0" r:id="rId7">
            <anchor moveWithCells="1">
              <from>
                <xdr:col>11</xdr:col>
                <xdr:colOff>228600</xdr:colOff>
                <xdr:row>0</xdr:row>
                <xdr:rowOff>137160</xdr:rowOff>
              </from>
              <to>
                <xdr:col>13</xdr:col>
                <xdr:colOff>312420</xdr:colOff>
                <xdr:row>0</xdr:row>
                <xdr:rowOff>434340</xdr:rowOff>
              </to>
            </anchor>
          </controlPr>
        </control>
      </mc:Choice>
      <mc:Fallback>
        <control shapeId="13314" r:id="rId6" name="btnAnterior"/>
      </mc:Fallback>
    </mc:AlternateContent>
    <mc:AlternateContent xmlns:mc="http://schemas.openxmlformats.org/markup-compatibility/2006">
      <mc:Choice Requires="x14">
        <control shapeId="13315" r:id="rId8" name="btnSiguiente">
          <controlPr defaultSize="0" autoLine="0" r:id="rId9">
            <anchor moveWithCells="1">
              <from>
                <xdr:col>13</xdr:col>
                <xdr:colOff>502920</xdr:colOff>
                <xdr:row>0</xdr:row>
                <xdr:rowOff>137160</xdr:rowOff>
              </from>
              <to>
                <xdr:col>15</xdr:col>
                <xdr:colOff>586740</xdr:colOff>
                <xdr:row>0</xdr:row>
                <xdr:rowOff>434340</xdr:rowOff>
              </to>
            </anchor>
          </controlPr>
        </control>
      </mc:Choice>
      <mc:Fallback>
        <control shapeId="13315" r:id="rId8" name="btnSiguient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B1:L67"/>
  <sheetViews>
    <sheetView showGridLines="0" zoomScale="90" zoomScaleNormal="90" workbookViewId="0">
      <pane ySplit="1" topLeftCell="A2" activePane="bottomLeft" state="frozen"/>
      <selection pane="bottomLeft" activeCell="J17" sqref="J17"/>
    </sheetView>
  </sheetViews>
  <sheetFormatPr baseColWidth="10" defaultRowHeight="14.4" x14ac:dyDescent="0.3"/>
  <cols>
    <col min="2" max="2" width="38.44140625" customWidth="1"/>
    <col min="4" max="4" width="15.44140625" customWidth="1"/>
    <col min="5" max="5" width="18.109375" customWidth="1"/>
    <col min="6" max="6" width="20.6640625" customWidth="1"/>
    <col min="7" max="7" width="11.109375" customWidth="1"/>
    <col min="8" max="8" width="14.88671875" customWidth="1"/>
    <col min="9" max="9" width="17.44140625" customWidth="1"/>
    <col min="10" max="10" width="16.88671875" customWidth="1"/>
    <col min="11" max="11" width="16.44140625" customWidth="1"/>
  </cols>
  <sheetData>
    <row r="1" spans="2:12" s="442" customFormat="1" ht="50.25" customHeight="1" thickBot="1" x14ac:dyDescent="0.35">
      <c r="F1" s="840" t="s">
        <v>260</v>
      </c>
      <c r="G1" s="840"/>
      <c r="H1" s="840"/>
      <c r="I1" s="840"/>
      <c r="J1" s="840"/>
      <c r="K1" s="840"/>
      <c r="L1" s="840"/>
    </row>
    <row r="2" spans="2:12" ht="15.6" thickTop="1" thickBot="1" x14ac:dyDescent="0.35"/>
    <row r="3" spans="2:12" ht="27" thickTop="1" thickBot="1" x14ac:dyDescent="0.55000000000000004">
      <c r="B3" s="804" t="s">
        <v>15</v>
      </c>
      <c r="C3" s="805"/>
      <c r="D3" s="805"/>
      <c r="E3" s="759"/>
      <c r="H3" s="777" t="s">
        <v>261</v>
      </c>
      <c r="I3" s="778"/>
      <c r="J3" s="778"/>
      <c r="K3" s="779"/>
    </row>
    <row r="4" spans="2:12" ht="15.6" x14ac:dyDescent="0.3">
      <c r="B4" s="17" t="s">
        <v>7</v>
      </c>
      <c r="C4" s="16" t="s">
        <v>8</v>
      </c>
      <c r="D4" s="751" t="s">
        <v>9</v>
      </c>
      <c r="E4" s="752"/>
      <c r="H4" s="315" t="s">
        <v>291</v>
      </c>
      <c r="I4" s="316">
        <v>2021</v>
      </c>
      <c r="J4" s="316">
        <v>2022</v>
      </c>
      <c r="K4" s="317">
        <v>2023</v>
      </c>
    </row>
    <row r="5" spans="2:12" ht="16.2" thickBot="1" x14ac:dyDescent="0.35">
      <c r="B5" s="18">
        <f>Hipótesis!B23</f>
        <v>2022</v>
      </c>
      <c r="C5" s="14">
        <f>Hipótesis!C23</f>
        <v>0.03</v>
      </c>
      <c r="D5" s="753">
        <f>Hipótesis!D23</f>
        <v>72000000</v>
      </c>
      <c r="E5" s="754"/>
      <c r="H5" s="264">
        <f>$E$19</f>
        <v>8491000</v>
      </c>
      <c r="I5" s="265">
        <f>$E$35</f>
        <v>10440873</v>
      </c>
      <c r="J5" s="265">
        <f>$E$51</f>
        <v>23910723</v>
      </c>
      <c r="K5" s="266">
        <f>$E$67</f>
        <v>26229300</v>
      </c>
    </row>
    <row r="6" spans="2:12" ht="15.6" x14ac:dyDescent="0.3">
      <c r="B6" s="18">
        <f>Hipótesis!B24</f>
        <v>2023</v>
      </c>
      <c r="C6" s="14">
        <f>Hipótesis!C24</f>
        <v>0.06</v>
      </c>
      <c r="D6" s="753">
        <f>Hipótesis!D24</f>
        <v>144000000</v>
      </c>
      <c r="E6" s="754"/>
    </row>
    <row r="7" spans="2:12" ht="16.2" thickBot="1" x14ac:dyDescent="0.35">
      <c r="B7" s="19">
        <f>Hipótesis!B25</f>
        <v>2024</v>
      </c>
      <c r="C7" s="20">
        <f>Hipótesis!C25</f>
        <v>0.1</v>
      </c>
      <c r="D7" s="755">
        <f>Hipótesis!D25</f>
        <v>240000000</v>
      </c>
      <c r="E7" s="756"/>
    </row>
    <row r="8" spans="2:12" ht="15" thickTop="1" x14ac:dyDescent="0.3"/>
    <row r="9" spans="2:12" ht="15" thickBot="1" x14ac:dyDescent="0.35"/>
    <row r="10" spans="2:12" ht="26.4" thickBot="1" x14ac:dyDescent="0.55000000000000004">
      <c r="B10" s="841" t="s">
        <v>262</v>
      </c>
      <c r="C10" s="842"/>
      <c r="D10" s="842"/>
      <c r="E10" s="842"/>
      <c r="F10" s="843"/>
    </row>
    <row r="11" spans="2:12" ht="16.2" thickBot="1" x14ac:dyDescent="0.35">
      <c r="B11" s="320" t="s">
        <v>27</v>
      </c>
      <c r="C11" s="321" t="s">
        <v>42</v>
      </c>
      <c r="D11" s="321" t="s">
        <v>263</v>
      </c>
      <c r="E11" s="321" t="s">
        <v>62</v>
      </c>
      <c r="F11" s="322" t="s">
        <v>264</v>
      </c>
    </row>
    <row r="12" spans="2:12" x14ac:dyDescent="0.3">
      <c r="B12" s="328" t="s">
        <v>294</v>
      </c>
      <c r="C12" s="366">
        <v>1</v>
      </c>
      <c r="D12" s="294">
        <v>730150</v>
      </c>
      <c r="E12" s="294">
        <f>C12*D12</f>
        <v>730150</v>
      </c>
      <c r="F12" s="319" t="s">
        <v>290</v>
      </c>
    </row>
    <row r="13" spans="2:12" x14ac:dyDescent="0.3">
      <c r="B13" s="329" t="s">
        <v>295</v>
      </c>
      <c r="C13" s="366">
        <v>1</v>
      </c>
      <c r="D13" s="268">
        <v>478500</v>
      </c>
      <c r="E13" s="268">
        <f>C13*D13</f>
        <v>478500</v>
      </c>
      <c r="F13" s="319" t="s">
        <v>290</v>
      </c>
    </row>
    <row r="14" spans="2:12" x14ac:dyDescent="0.3">
      <c r="B14" s="329" t="s">
        <v>296</v>
      </c>
      <c r="C14" s="366">
        <v>1</v>
      </c>
      <c r="D14" s="268">
        <v>580500</v>
      </c>
      <c r="E14" s="268">
        <f>C14*D14</f>
        <v>580500</v>
      </c>
      <c r="F14" s="319" t="s">
        <v>290</v>
      </c>
    </row>
    <row r="15" spans="2:12" ht="15.6" x14ac:dyDescent="0.3">
      <c r="B15" s="329" t="s">
        <v>297</v>
      </c>
      <c r="C15" s="367">
        <v>1</v>
      </c>
      <c r="D15" s="323">
        <v>4510000</v>
      </c>
      <c r="E15" s="268">
        <f t="shared" ref="E15:E18" si="0">C15*D15</f>
        <v>4510000</v>
      </c>
      <c r="F15" s="319" t="s">
        <v>290</v>
      </c>
    </row>
    <row r="16" spans="2:12" x14ac:dyDescent="0.3">
      <c r="B16" s="329" t="s">
        <v>111</v>
      </c>
      <c r="C16" s="297">
        <v>1</v>
      </c>
      <c r="D16" s="268">
        <v>37500</v>
      </c>
      <c r="E16" s="268">
        <f t="shared" si="0"/>
        <v>37500</v>
      </c>
      <c r="F16" s="324" t="s">
        <v>290</v>
      </c>
    </row>
    <row r="17" spans="2:6" x14ac:dyDescent="0.3">
      <c r="B17" s="477" t="s">
        <v>402</v>
      </c>
      <c r="C17" s="299">
        <v>1</v>
      </c>
      <c r="D17" s="300">
        <v>2054350</v>
      </c>
      <c r="E17" s="300">
        <f t="shared" si="0"/>
        <v>2054350</v>
      </c>
      <c r="F17" s="509" t="s">
        <v>413</v>
      </c>
    </row>
    <row r="18" spans="2:6" ht="15" thickBot="1" x14ac:dyDescent="0.35">
      <c r="B18" s="344" t="s">
        <v>110</v>
      </c>
      <c r="C18" s="368">
        <v>1</v>
      </c>
      <c r="D18" s="265">
        <v>100000</v>
      </c>
      <c r="E18" s="265">
        <f t="shared" si="0"/>
        <v>100000</v>
      </c>
      <c r="F18" s="318"/>
    </row>
    <row r="19" spans="2:6" ht="15" thickBot="1" x14ac:dyDescent="0.35">
      <c r="B19" s="876" t="s">
        <v>9</v>
      </c>
      <c r="C19" s="877"/>
      <c r="D19" s="878"/>
      <c r="E19" s="271">
        <f>SUM(E12:E18)</f>
        <v>8491000</v>
      </c>
      <c r="F19" s="25"/>
    </row>
    <row r="20" spans="2:6" ht="15" thickBot="1" x14ac:dyDescent="0.35"/>
    <row r="21" spans="2:6" ht="26.4" thickBot="1" x14ac:dyDescent="0.55000000000000004">
      <c r="B21" s="879" t="s">
        <v>266</v>
      </c>
      <c r="C21" s="880"/>
      <c r="D21" s="880"/>
      <c r="E21" s="880"/>
      <c r="F21" s="881"/>
    </row>
    <row r="22" spans="2:6" ht="16.2" thickBot="1" x14ac:dyDescent="0.35">
      <c r="B22" s="320" t="s">
        <v>27</v>
      </c>
      <c r="C22" s="321" t="s">
        <v>42</v>
      </c>
      <c r="D22" s="321" t="s">
        <v>263</v>
      </c>
      <c r="E22" s="322" t="s">
        <v>62</v>
      </c>
      <c r="F22" s="322" t="s">
        <v>264</v>
      </c>
    </row>
    <row r="23" spans="2:6" x14ac:dyDescent="0.3">
      <c r="B23" s="331" t="s">
        <v>311</v>
      </c>
      <c r="C23" s="332">
        <v>0</v>
      </c>
      <c r="D23" s="339">
        <v>5900000</v>
      </c>
      <c r="E23" s="295">
        <f>C23*D23</f>
        <v>0</v>
      </c>
      <c r="F23" s="319" t="s">
        <v>290</v>
      </c>
    </row>
    <row r="24" spans="2:6" x14ac:dyDescent="0.3">
      <c r="B24" s="331" t="s">
        <v>302</v>
      </c>
      <c r="C24" s="332">
        <v>10</v>
      </c>
      <c r="D24" s="325">
        <v>27000</v>
      </c>
      <c r="E24" s="272">
        <f t="shared" ref="E24:E34" si="1">C24*D24</f>
        <v>270000</v>
      </c>
      <c r="F24" s="333"/>
    </row>
    <row r="25" spans="2:6" x14ac:dyDescent="0.3">
      <c r="B25" s="329" t="s">
        <v>304</v>
      </c>
      <c r="C25" s="330">
        <v>3</v>
      </c>
      <c r="D25" s="325">
        <v>32900</v>
      </c>
      <c r="E25" s="272">
        <f t="shared" si="1"/>
        <v>98700</v>
      </c>
      <c r="F25" s="319" t="s">
        <v>290</v>
      </c>
    </row>
    <row r="26" spans="2:6" x14ac:dyDescent="0.3">
      <c r="B26" s="329" t="s">
        <v>305</v>
      </c>
      <c r="C26" s="330">
        <v>7</v>
      </c>
      <c r="D26" s="325">
        <v>3289</v>
      </c>
      <c r="E26" s="272">
        <f t="shared" si="1"/>
        <v>23023</v>
      </c>
      <c r="F26" s="319" t="s">
        <v>290</v>
      </c>
    </row>
    <row r="27" spans="2:6" x14ac:dyDescent="0.3">
      <c r="B27" s="329" t="s">
        <v>293</v>
      </c>
      <c r="C27" s="330">
        <v>1</v>
      </c>
      <c r="D27" s="325">
        <v>1750000</v>
      </c>
      <c r="E27" s="272">
        <f t="shared" si="1"/>
        <v>1750000</v>
      </c>
      <c r="F27" s="334" t="s">
        <v>290</v>
      </c>
    </row>
    <row r="28" spans="2:6" x14ac:dyDescent="0.3">
      <c r="B28" s="329" t="s">
        <v>295</v>
      </c>
      <c r="C28" s="330">
        <v>1</v>
      </c>
      <c r="D28" s="325">
        <v>478500</v>
      </c>
      <c r="E28" s="272">
        <f t="shared" si="1"/>
        <v>478500</v>
      </c>
      <c r="F28" s="324"/>
    </row>
    <row r="29" spans="2:6" x14ac:dyDescent="0.3">
      <c r="B29" s="329" t="s">
        <v>296</v>
      </c>
      <c r="C29" s="327">
        <v>1</v>
      </c>
      <c r="D29" s="325">
        <v>580500</v>
      </c>
      <c r="E29" s="272">
        <f t="shared" si="1"/>
        <v>580500</v>
      </c>
      <c r="F29" s="324"/>
    </row>
    <row r="30" spans="2:6" x14ac:dyDescent="0.3">
      <c r="B30" s="329" t="s">
        <v>297</v>
      </c>
      <c r="C30" s="330">
        <v>1</v>
      </c>
      <c r="D30" s="325">
        <v>4510000</v>
      </c>
      <c r="E30" s="272">
        <f t="shared" si="1"/>
        <v>4510000</v>
      </c>
      <c r="F30" s="324"/>
    </row>
    <row r="31" spans="2:6" x14ac:dyDescent="0.3">
      <c r="B31" s="329" t="s">
        <v>294</v>
      </c>
      <c r="C31" s="330">
        <v>1</v>
      </c>
      <c r="D31" s="325">
        <v>730150</v>
      </c>
      <c r="E31" s="272">
        <f t="shared" si="1"/>
        <v>730150</v>
      </c>
      <c r="F31" s="324"/>
    </row>
    <row r="32" spans="2:6" x14ac:dyDescent="0.3">
      <c r="B32" s="329" t="s">
        <v>111</v>
      </c>
      <c r="C32" s="330">
        <v>0</v>
      </c>
      <c r="D32" s="325">
        <v>37500</v>
      </c>
      <c r="E32" s="272">
        <f t="shared" si="1"/>
        <v>0</v>
      </c>
      <c r="F32" s="324"/>
    </row>
    <row r="33" spans="2:6" x14ac:dyDescent="0.3">
      <c r="B33" s="329" t="s">
        <v>110</v>
      </c>
      <c r="C33" s="330">
        <v>0</v>
      </c>
      <c r="D33" s="325">
        <v>100000</v>
      </c>
      <c r="E33" s="272">
        <f t="shared" si="1"/>
        <v>0</v>
      </c>
      <c r="F33" s="324"/>
    </row>
    <row r="34" spans="2:6" ht="15" thickBot="1" x14ac:dyDescent="0.35">
      <c r="B34" s="329" t="s">
        <v>140</v>
      </c>
      <c r="C34" s="330">
        <v>1</v>
      </c>
      <c r="D34" s="325">
        <v>2000000</v>
      </c>
      <c r="E34" s="272">
        <f t="shared" si="1"/>
        <v>2000000</v>
      </c>
      <c r="F34" s="335"/>
    </row>
    <row r="35" spans="2:6" ht="15" thickBot="1" x14ac:dyDescent="0.35">
      <c r="B35" s="876" t="s">
        <v>9</v>
      </c>
      <c r="C35" s="877"/>
      <c r="D35" s="878"/>
      <c r="E35" s="274">
        <f>SUM(E23:E34)</f>
        <v>10440873</v>
      </c>
    </row>
    <row r="36" spans="2:6" ht="15" thickBot="1" x14ac:dyDescent="0.35"/>
    <row r="37" spans="2:6" ht="26.4" thickBot="1" x14ac:dyDescent="0.55000000000000004">
      <c r="B37" s="879" t="s">
        <v>298</v>
      </c>
      <c r="C37" s="882"/>
      <c r="D37" s="882"/>
      <c r="E37" s="882"/>
      <c r="F37" s="881"/>
    </row>
    <row r="38" spans="2:6" ht="16.2" thickBot="1" x14ac:dyDescent="0.35">
      <c r="B38" s="320" t="s">
        <v>27</v>
      </c>
      <c r="C38" s="321" t="s">
        <v>42</v>
      </c>
      <c r="D38" s="321" t="s">
        <v>263</v>
      </c>
      <c r="E38" s="322" t="s">
        <v>62</v>
      </c>
      <c r="F38" s="322" t="s">
        <v>264</v>
      </c>
    </row>
    <row r="39" spans="2:6" x14ac:dyDescent="0.3">
      <c r="B39" s="331" t="s">
        <v>311</v>
      </c>
      <c r="C39" s="332">
        <v>4</v>
      </c>
      <c r="D39" s="339">
        <v>5900000</v>
      </c>
      <c r="E39" s="295">
        <f>C39*D39</f>
        <v>23600000</v>
      </c>
      <c r="F39" s="319" t="s">
        <v>290</v>
      </c>
    </row>
    <row r="40" spans="2:6" x14ac:dyDescent="0.3">
      <c r="B40" s="331" t="s">
        <v>303</v>
      </c>
      <c r="C40" s="332">
        <v>7</v>
      </c>
      <c r="D40" s="325">
        <v>27000</v>
      </c>
      <c r="E40" s="272">
        <f t="shared" ref="E40:E50" si="2">C40*D40</f>
        <v>189000</v>
      </c>
      <c r="F40" s="333"/>
    </row>
    <row r="41" spans="2:6" x14ac:dyDescent="0.3">
      <c r="B41" s="329" t="s">
        <v>306</v>
      </c>
      <c r="C41" s="330">
        <v>3</v>
      </c>
      <c r="D41" s="325">
        <v>32900</v>
      </c>
      <c r="E41" s="272">
        <f t="shared" si="2"/>
        <v>98700</v>
      </c>
      <c r="F41" s="319" t="s">
        <v>290</v>
      </c>
    </row>
    <row r="42" spans="2:6" x14ac:dyDescent="0.3">
      <c r="B42" s="329" t="s">
        <v>305</v>
      </c>
      <c r="C42" s="330">
        <v>7</v>
      </c>
      <c r="D42" s="325">
        <v>3289</v>
      </c>
      <c r="E42" s="272">
        <f t="shared" si="2"/>
        <v>23023</v>
      </c>
      <c r="F42" s="319" t="s">
        <v>290</v>
      </c>
    </row>
    <row r="43" spans="2:6" x14ac:dyDescent="0.3">
      <c r="B43" s="329" t="s">
        <v>293</v>
      </c>
      <c r="C43" s="330">
        <v>0</v>
      </c>
      <c r="D43" s="325">
        <v>1750000</v>
      </c>
      <c r="E43" s="272">
        <f t="shared" si="2"/>
        <v>0</v>
      </c>
      <c r="F43" s="334" t="s">
        <v>290</v>
      </c>
    </row>
    <row r="44" spans="2:6" x14ac:dyDescent="0.3">
      <c r="B44" s="329" t="s">
        <v>295</v>
      </c>
      <c r="C44" s="330">
        <v>0</v>
      </c>
      <c r="D44" s="325">
        <v>478500</v>
      </c>
      <c r="E44" s="272">
        <f t="shared" si="2"/>
        <v>0</v>
      </c>
      <c r="F44" s="324"/>
    </row>
    <row r="45" spans="2:6" x14ac:dyDescent="0.3">
      <c r="B45" s="329" t="s">
        <v>296</v>
      </c>
      <c r="C45" s="327">
        <v>0</v>
      </c>
      <c r="D45" s="325">
        <v>580500</v>
      </c>
      <c r="E45" s="272">
        <f t="shared" si="2"/>
        <v>0</v>
      </c>
      <c r="F45" s="324"/>
    </row>
    <row r="46" spans="2:6" x14ac:dyDescent="0.3">
      <c r="B46" s="329" t="s">
        <v>297</v>
      </c>
      <c r="C46" s="330">
        <v>0</v>
      </c>
      <c r="D46" s="325">
        <v>4510000</v>
      </c>
      <c r="E46" s="272">
        <f t="shared" si="2"/>
        <v>0</v>
      </c>
      <c r="F46" s="324"/>
    </row>
    <row r="47" spans="2:6" x14ac:dyDescent="0.3">
      <c r="B47" s="329" t="s">
        <v>294</v>
      </c>
      <c r="C47" s="330">
        <v>0</v>
      </c>
      <c r="D47" s="325">
        <v>730150</v>
      </c>
      <c r="E47" s="272">
        <f t="shared" si="2"/>
        <v>0</v>
      </c>
      <c r="F47" s="324"/>
    </row>
    <row r="48" spans="2:6" x14ac:dyDescent="0.3">
      <c r="B48" s="329" t="s">
        <v>111</v>
      </c>
      <c r="C48" s="330">
        <v>0</v>
      </c>
      <c r="D48" s="325">
        <v>37500</v>
      </c>
      <c r="E48" s="272">
        <f t="shared" si="2"/>
        <v>0</v>
      </c>
      <c r="F48" s="324"/>
    </row>
    <row r="49" spans="2:6" x14ac:dyDescent="0.3">
      <c r="B49" s="329" t="s">
        <v>110</v>
      </c>
      <c r="C49" s="330">
        <v>0</v>
      </c>
      <c r="D49" s="325">
        <v>100000</v>
      </c>
      <c r="E49" s="272">
        <f t="shared" si="2"/>
        <v>0</v>
      </c>
      <c r="F49" s="324"/>
    </row>
    <row r="50" spans="2:6" ht="15" thickBot="1" x14ac:dyDescent="0.35">
      <c r="B50" s="329" t="s">
        <v>140</v>
      </c>
      <c r="C50" s="330">
        <v>0</v>
      </c>
      <c r="D50" s="325">
        <v>2000000</v>
      </c>
      <c r="E50" s="272">
        <f t="shared" si="2"/>
        <v>0</v>
      </c>
      <c r="F50" s="335"/>
    </row>
    <row r="51" spans="2:6" ht="15" thickBot="1" x14ac:dyDescent="0.35">
      <c r="B51" s="876" t="s">
        <v>9</v>
      </c>
      <c r="C51" s="877"/>
      <c r="D51" s="878"/>
      <c r="E51" s="274">
        <f>SUM(E39:E50)</f>
        <v>23910723</v>
      </c>
    </row>
    <row r="52" spans="2:6" ht="15" thickBot="1" x14ac:dyDescent="0.35"/>
    <row r="53" spans="2:6" ht="26.4" thickBot="1" x14ac:dyDescent="0.55000000000000004">
      <c r="B53" s="879" t="s">
        <v>300</v>
      </c>
      <c r="C53" s="882"/>
      <c r="D53" s="882"/>
      <c r="E53" s="882"/>
      <c r="F53" s="881"/>
    </row>
    <row r="54" spans="2:6" ht="16.2" thickBot="1" x14ac:dyDescent="0.35">
      <c r="B54" s="320" t="s">
        <v>27</v>
      </c>
      <c r="C54" s="321" t="s">
        <v>42</v>
      </c>
      <c r="D54" s="321" t="s">
        <v>263</v>
      </c>
      <c r="E54" s="322" t="s">
        <v>62</v>
      </c>
      <c r="F54" s="322" t="s">
        <v>264</v>
      </c>
    </row>
    <row r="55" spans="2:6" x14ac:dyDescent="0.3">
      <c r="B55" s="331" t="s">
        <v>311</v>
      </c>
      <c r="C55" s="332">
        <v>2</v>
      </c>
      <c r="D55" s="339">
        <v>5900000</v>
      </c>
      <c r="E55" s="295">
        <f>C55*D55</f>
        <v>11800000</v>
      </c>
      <c r="F55" s="319" t="s">
        <v>290</v>
      </c>
    </row>
    <row r="56" spans="2:6" x14ac:dyDescent="0.3">
      <c r="B56" s="331" t="s">
        <v>303</v>
      </c>
      <c r="C56" s="332">
        <v>3</v>
      </c>
      <c r="D56" s="325">
        <v>27000</v>
      </c>
      <c r="E56" s="272">
        <f t="shared" ref="E56:E66" si="3">C56*D56</f>
        <v>81000</v>
      </c>
      <c r="F56" s="333"/>
    </row>
    <row r="57" spans="2:6" x14ac:dyDescent="0.3">
      <c r="B57" s="329" t="s">
        <v>306</v>
      </c>
      <c r="C57" s="330">
        <v>0</v>
      </c>
      <c r="D57" s="325">
        <v>32900</v>
      </c>
      <c r="E57" s="272">
        <f t="shared" si="3"/>
        <v>0</v>
      </c>
      <c r="F57" s="319" t="s">
        <v>290</v>
      </c>
    </row>
    <row r="58" spans="2:6" x14ac:dyDescent="0.3">
      <c r="B58" s="329" t="s">
        <v>305</v>
      </c>
      <c r="C58" s="330">
        <v>0</v>
      </c>
      <c r="D58" s="325">
        <v>3289</v>
      </c>
      <c r="E58" s="272">
        <f t="shared" si="3"/>
        <v>0</v>
      </c>
      <c r="F58" s="319" t="s">
        <v>290</v>
      </c>
    </row>
    <row r="59" spans="2:6" x14ac:dyDescent="0.3">
      <c r="B59" s="329" t="s">
        <v>293</v>
      </c>
      <c r="C59" s="330">
        <v>1</v>
      </c>
      <c r="D59" s="325">
        <v>1750000</v>
      </c>
      <c r="E59" s="272">
        <f t="shared" si="3"/>
        <v>1750000</v>
      </c>
      <c r="F59" s="334" t="s">
        <v>290</v>
      </c>
    </row>
    <row r="60" spans="2:6" x14ac:dyDescent="0.3">
      <c r="B60" s="329" t="s">
        <v>295</v>
      </c>
      <c r="C60" s="330">
        <v>2</v>
      </c>
      <c r="D60" s="325">
        <v>478500</v>
      </c>
      <c r="E60" s="272">
        <f t="shared" si="3"/>
        <v>957000</v>
      </c>
      <c r="F60" s="324"/>
    </row>
    <row r="61" spans="2:6" x14ac:dyDescent="0.3">
      <c r="B61" s="329" t="s">
        <v>296</v>
      </c>
      <c r="C61" s="327">
        <v>2</v>
      </c>
      <c r="D61" s="325">
        <v>580500</v>
      </c>
      <c r="E61" s="272">
        <f t="shared" si="3"/>
        <v>1161000</v>
      </c>
      <c r="F61" s="324"/>
    </row>
    <row r="62" spans="2:6" x14ac:dyDescent="0.3">
      <c r="B62" s="329" t="s">
        <v>297</v>
      </c>
      <c r="C62" s="330">
        <v>2</v>
      </c>
      <c r="D62" s="325">
        <v>4510000</v>
      </c>
      <c r="E62" s="272">
        <f t="shared" si="3"/>
        <v>9020000</v>
      </c>
      <c r="F62" s="324"/>
    </row>
    <row r="63" spans="2:6" x14ac:dyDescent="0.3">
      <c r="B63" s="329" t="s">
        <v>294</v>
      </c>
      <c r="C63" s="330">
        <v>2</v>
      </c>
      <c r="D63" s="325">
        <v>730150</v>
      </c>
      <c r="E63" s="272">
        <f t="shared" si="3"/>
        <v>1460300</v>
      </c>
      <c r="F63" s="324"/>
    </row>
    <row r="64" spans="2:6" x14ac:dyDescent="0.3">
      <c r="B64" s="329" t="s">
        <v>111</v>
      </c>
      <c r="C64" s="330">
        <v>0</v>
      </c>
      <c r="D64" s="325">
        <v>37500</v>
      </c>
      <c r="E64" s="272">
        <f t="shared" si="3"/>
        <v>0</v>
      </c>
      <c r="F64" s="324"/>
    </row>
    <row r="65" spans="2:6" x14ac:dyDescent="0.3">
      <c r="B65" s="329" t="s">
        <v>110</v>
      </c>
      <c r="C65" s="330">
        <v>0</v>
      </c>
      <c r="D65" s="325">
        <v>100000</v>
      </c>
      <c r="E65" s="272">
        <f t="shared" si="3"/>
        <v>0</v>
      </c>
      <c r="F65" s="324"/>
    </row>
    <row r="66" spans="2:6" ht="15" thickBot="1" x14ac:dyDescent="0.35">
      <c r="B66" s="329" t="s">
        <v>140</v>
      </c>
      <c r="C66" s="330">
        <v>0</v>
      </c>
      <c r="D66" s="325">
        <v>2000000</v>
      </c>
      <c r="E66" s="272">
        <f t="shared" si="3"/>
        <v>0</v>
      </c>
      <c r="F66" s="335"/>
    </row>
    <row r="67" spans="2:6" ht="15" thickBot="1" x14ac:dyDescent="0.35">
      <c r="B67" s="876" t="s">
        <v>9</v>
      </c>
      <c r="C67" s="877"/>
      <c r="D67" s="878"/>
      <c r="E67" s="274">
        <f>SUM(E55:E66)</f>
        <v>26229300</v>
      </c>
    </row>
  </sheetData>
  <mergeCells count="15">
    <mergeCell ref="F1:L1"/>
    <mergeCell ref="B3:E3"/>
    <mergeCell ref="D4:E4"/>
    <mergeCell ref="D5:E5"/>
    <mergeCell ref="D6:E6"/>
    <mergeCell ref="D7:E7"/>
    <mergeCell ref="H3:K3"/>
    <mergeCell ref="B67:D67"/>
    <mergeCell ref="B21:F21"/>
    <mergeCell ref="B37:F37"/>
    <mergeCell ref="B53:F53"/>
    <mergeCell ref="B10:F10"/>
    <mergeCell ref="B19:D19"/>
    <mergeCell ref="B35:D35"/>
    <mergeCell ref="B51:D51"/>
  </mergeCell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btnSiguiente">
          <controlPr defaultSize="0" autoLine="0" r:id="rId5">
            <anchor moveWithCells="1">
              <from>
                <xdr:col>14</xdr:col>
                <xdr:colOff>45720</xdr:colOff>
                <xdr:row>0</xdr:row>
                <xdr:rowOff>144780</xdr:rowOff>
              </from>
              <to>
                <xdr:col>16</xdr:col>
                <xdr:colOff>129540</xdr:colOff>
                <xdr:row>0</xdr:row>
                <xdr:rowOff>441960</xdr:rowOff>
              </to>
            </anchor>
          </controlPr>
        </control>
      </mc:Choice>
      <mc:Fallback>
        <control shapeId="14339" r:id="rId4" name="btnSiguiente"/>
      </mc:Fallback>
    </mc:AlternateContent>
    <mc:AlternateContent xmlns:mc="http://schemas.openxmlformats.org/markup-compatibility/2006">
      <mc:Choice Requires="x14">
        <control shapeId="14338" r:id="rId6" name="btnAnterior">
          <controlPr defaultSize="0" autoLine="0" r:id="rId7">
            <anchor moveWithCells="1">
              <from>
                <xdr:col>11</xdr:col>
                <xdr:colOff>480060</xdr:colOff>
                <xdr:row>0</xdr:row>
                <xdr:rowOff>144780</xdr:rowOff>
              </from>
              <to>
                <xdr:col>13</xdr:col>
                <xdr:colOff>563880</xdr:colOff>
                <xdr:row>0</xdr:row>
                <xdr:rowOff>441960</xdr:rowOff>
              </to>
            </anchor>
          </controlPr>
        </control>
      </mc:Choice>
      <mc:Fallback>
        <control shapeId="14338" r:id="rId6" name="btnAnterior"/>
      </mc:Fallback>
    </mc:AlternateContent>
    <mc:AlternateContent xmlns:mc="http://schemas.openxmlformats.org/markup-compatibility/2006">
      <mc:Choice Requires="x14">
        <control shapeId="14337" r:id="rId8" name="btnIndice">
          <controlPr defaultSize="0" autoLine="0" r:id="rId9">
            <anchor moveWithCells="1">
              <from>
                <xdr:col>0</xdr:col>
                <xdr:colOff>510540</xdr:colOff>
                <xdr:row>0</xdr:row>
                <xdr:rowOff>144780</xdr:rowOff>
              </from>
              <to>
                <xdr:col>1</xdr:col>
                <xdr:colOff>1386840</xdr:colOff>
                <xdr:row>0</xdr:row>
                <xdr:rowOff>441960</xdr:rowOff>
              </to>
            </anchor>
          </controlPr>
        </control>
      </mc:Choice>
      <mc:Fallback>
        <control shapeId="14337" r:id="rId8" name="btnIndic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1:M36"/>
  <sheetViews>
    <sheetView showGridLines="0" zoomScale="82" zoomScaleNormal="82" workbookViewId="0">
      <pane ySplit="1" topLeftCell="A23" activePane="bottomLeft" state="frozen"/>
      <selection pane="bottomLeft" activeCell="L8" sqref="L8"/>
    </sheetView>
  </sheetViews>
  <sheetFormatPr baseColWidth="10" defaultRowHeight="14.4" x14ac:dyDescent="0.3"/>
  <cols>
    <col min="2" max="2" width="21.109375" customWidth="1"/>
    <col min="3" max="3" width="34.88671875" customWidth="1"/>
    <col min="5" max="5" width="20.5546875" customWidth="1"/>
    <col min="6" max="6" width="14.33203125" customWidth="1"/>
    <col min="7" max="7" width="17.109375" customWidth="1"/>
    <col min="8" max="8" width="16.44140625" customWidth="1"/>
    <col min="9" max="9" width="16.6640625" customWidth="1"/>
    <col min="10" max="10" width="15.88671875" customWidth="1"/>
    <col min="11" max="11" width="17" customWidth="1"/>
    <col min="12" max="12" width="15.6640625" customWidth="1"/>
    <col min="13" max="13" width="16" customWidth="1"/>
  </cols>
  <sheetData>
    <row r="1" spans="2:13" s="442" customFormat="1" ht="45" customHeight="1" thickBot="1" x14ac:dyDescent="0.35">
      <c r="F1" s="840" t="s">
        <v>271</v>
      </c>
      <c r="G1" s="840"/>
      <c r="H1" s="840"/>
      <c r="I1" s="840"/>
      <c r="J1" s="840"/>
      <c r="K1" s="840"/>
      <c r="L1" s="840"/>
    </row>
    <row r="2" spans="2:13" ht="15" thickTop="1" x14ac:dyDescent="0.3"/>
    <row r="3" spans="2:13" ht="15" thickBot="1" x14ac:dyDescent="0.35"/>
    <row r="4" spans="2:13" ht="27" thickTop="1" thickBot="1" x14ac:dyDescent="0.55000000000000004">
      <c r="B4" s="804" t="s">
        <v>15</v>
      </c>
      <c r="C4" s="805"/>
      <c r="D4" s="805"/>
      <c r="E4" s="759"/>
      <c r="H4" s="879" t="s">
        <v>267</v>
      </c>
      <c r="I4" s="882"/>
      <c r="J4" s="883"/>
    </row>
    <row r="5" spans="2:13" ht="15.6" x14ac:dyDescent="0.3">
      <c r="B5" s="17" t="s">
        <v>7</v>
      </c>
      <c r="C5" s="16" t="s">
        <v>8</v>
      </c>
      <c r="D5" s="751" t="s">
        <v>9</v>
      </c>
      <c r="E5" s="752"/>
      <c r="H5" s="315">
        <v>2021</v>
      </c>
      <c r="I5" s="316">
        <v>2022</v>
      </c>
      <c r="J5" s="317">
        <v>2023</v>
      </c>
    </row>
    <row r="6" spans="2:13" ht="16.2" thickBot="1" x14ac:dyDescent="0.35">
      <c r="B6" s="18">
        <f>Hipótesis!B23</f>
        <v>2022</v>
      </c>
      <c r="C6" s="14">
        <f>Hipótesis!C23</f>
        <v>0.03</v>
      </c>
      <c r="D6" s="753">
        <f>Hipótesis!D23</f>
        <v>72000000</v>
      </c>
      <c r="E6" s="754"/>
      <c r="H6" s="264">
        <f>K36</f>
        <v>629915</v>
      </c>
      <c r="I6" s="265">
        <f>L36</f>
        <v>1676002.3</v>
      </c>
      <c r="J6" s="266">
        <f>M36</f>
        <v>6445974.5999999996</v>
      </c>
    </row>
    <row r="7" spans="2:13" ht="15.6" x14ac:dyDescent="0.3">
      <c r="B7" s="18">
        <f>Hipótesis!B24</f>
        <v>2023</v>
      </c>
      <c r="C7" s="14">
        <f>Hipótesis!C24</f>
        <v>0.06</v>
      </c>
      <c r="D7" s="753">
        <f>Hipótesis!D24</f>
        <v>144000000</v>
      </c>
      <c r="E7" s="754"/>
    </row>
    <row r="8" spans="2:13" ht="16.2" thickBot="1" x14ac:dyDescent="0.35">
      <c r="B8" s="19">
        <f>Hipótesis!B25</f>
        <v>2024</v>
      </c>
      <c r="C8" s="20">
        <f>Hipótesis!C25</f>
        <v>0.1</v>
      </c>
      <c r="D8" s="755">
        <f>Hipótesis!D25</f>
        <v>240000000</v>
      </c>
      <c r="E8" s="756"/>
    </row>
    <row r="9" spans="2:13" ht="15.6" thickTop="1" thickBot="1" x14ac:dyDescent="0.35"/>
    <row r="10" spans="2:13" ht="26.4" thickBot="1" x14ac:dyDescent="0.55000000000000004">
      <c r="B10" s="884" t="s">
        <v>267</v>
      </c>
      <c r="C10" s="885"/>
      <c r="D10" s="885"/>
      <c r="E10" s="885"/>
      <c r="F10" s="885"/>
      <c r="G10" s="885"/>
      <c r="H10" s="885"/>
      <c r="I10" s="885"/>
      <c r="J10" s="885"/>
      <c r="K10" s="885"/>
      <c r="L10" s="885"/>
      <c r="M10" s="886"/>
    </row>
    <row r="11" spans="2:13" x14ac:dyDescent="0.3">
      <c r="B11" s="887" t="s">
        <v>268</v>
      </c>
      <c r="C11" s="889" t="s">
        <v>27</v>
      </c>
      <c r="D11" s="889" t="s">
        <v>42</v>
      </c>
      <c r="E11" s="891" t="s">
        <v>263</v>
      </c>
      <c r="F11" s="893" t="s">
        <v>269</v>
      </c>
      <c r="G11" s="887" t="s">
        <v>270</v>
      </c>
      <c r="H11" s="889"/>
      <c r="I11" s="889"/>
      <c r="J11" s="895"/>
      <c r="K11" s="887" t="s">
        <v>271</v>
      </c>
      <c r="L11" s="889"/>
      <c r="M11" s="895"/>
    </row>
    <row r="12" spans="2:13" ht="15" thickBot="1" x14ac:dyDescent="0.35">
      <c r="B12" s="888"/>
      <c r="C12" s="890"/>
      <c r="D12" s="890"/>
      <c r="E12" s="892"/>
      <c r="F12" s="894"/>
      <c r="G12" s="336" t="s">
        <v>272</v>
      </c>
      <c r="H12" s="337" t="s">
        <v>88</v>
      </c>
      <c r="I12" s="337" t="s">
        <v>89</v>
      </c>
      <c r="J12" s="338" t="s">
        <v>198</v>
      </c>
      <c r="K12" s="336" t="s">
        <v>88</v>
      </c>
      <c r="L12" s="337" t="s">
        <v>89</v>
      </c>
      <c r="M12" s="338" t="s">
        <v>198</v>
      </c>
    </row>
    <row r="13" spans="2:13" x14ac:dyDescent="0.3">
      <c r="B13" s="896" t="s">
        <v>301</v>
      </c>
      <c r="C13" s="340" t="s">
        <v>294</v>
      </c>
      <c r="D13" s="275">
        <f>'Modelo de inversión'!C12</f>
        <v>1</v>
      </c>
      <c r="E13" s="276">
        <f>'Modelo de inversión'!D12</f>
        <v>730150</v>
      </c>
      <c r="F13" s="341">
        <v>10</v>
      </c>
      <c r="G13" s="345">
        <f>D13*E13</f>
        <v>730150</v>
      </c>
      <c r="H13" s="348">
        <v>0</v>
      </c>
      <c r="I13" s="348">
        <v>0</v>
      </c>
      <c r="J13" s="351">
        <v>0</v>
      </c>
      <c r="K13" s="277">
        <f>$G$13/$F$13</f>
        <v>73015</v>
      </c>
      <c r="L13" s="278">
        <f t="shared" ref="L13:M13" si="0">$G$13/$F$13</f>
        <v>73015</v>
      </c>
      <c r="M13" s="279">
        <f t="shared" si="0"/>
        <v>73015</v>
      </c>
    </row>
    <row r="14" spans="2:13" x14ac:dyDescent="0.3">
      <c r="B14" s="897"/>
      <c r="C14" s="267" t="s">
        <v>294</v>
      </c>
      <c r="D14" s="213">
        <f>'Modelo de inversión'!C31</f>
        <v>1</v>
      </c>
      <c r="E14" s="268">
        <f>'Modelo de inversión'!D31</f>
        <v>730150</v>
      </c>
      <c r="F14" s="342">
        <v>10</v>
      </c>
      <c r="G14" s="347">
        <v>0</v>
      </c>
      <c r="H14" s="284">
        <f>D14*E14</f>
        <v>730150</v>
      </c>
      <c r="I14" s="349">
        <v>0</v>
      </c>
      <c r="J14" s="352">
        <v>0</v>
      </c>
      <c r="K14" s="355">
        <v>0</v>
      </c>
      <c r="L14" s="282">
        <f>$H$14/$F$14</f>
        <v>73015</v>
      </c>
      <c r="M14" s="283">
        <f>$H$14/$F$14</f>
        <v>73015</v>
      </c>
    </row>
    <row r="15" spans="2:13" x14ac:dyDescent="0.3">
      <c r="B15" s="897"/>
      <c r="C15" s="267" t="s">
        <v>294</v>
      </c>
      <c r="D15" s="213">
        <f>'Modelo de inversión'!C63</f>
        <v>2</v>
      </c>
      <c r="E15" s="268">
        <f>'Modelo de inversión'!D63</f>
        <v>730150</v>
      </c>
      <c r="F15" s="342">
        <v>10</v>
      </c>
      <c r="G15" s="347">
        <v>0</v>
      </c>
      <c r="H15" s="349">
        <v>0</v>
      </c>
      <c r="I15" s="349">
        <v>0</v>
      </c>
      <c r="J15" s="286">
        <f>D15*E15</f>
        <v>1460300</v>
      </c>
      <c r="K15" s="355">
        <v>0</v>
      </c>
      <c r="L15" s="357">
        <v>0</v>
      </c>
      <c r="M15" s="358">
        <v>0</v>
      </c>
    </row>
    <row r="16" spans="2:13" x14ac:dyDescent="0.3">
      <c r="B16" s="897"/>
      <c r="C16" s="329" t="s">
        <v>295</v>
      </c>
      <c r="D16" s="213">
        <f>'Modelo de inversión'!C13</f>
        <v>1</v>
      </c>
      <c r="E16" s="268">
        <f>'Modelo de inversión'!D13</f>
        <v>478500</v>
      </c>
      <c r="F16" s="342">
        <v>10</v>
      </c>
      <c r="G16" s="280">
        <f t="shared" ref="G16:G22" si="1">D16*E16</f>
        <v>478500</v>
      </c>
      <c r="H16" s="349">
        <v>0</v>
      </c>
      <c r="I16" s="349">
        <v>0</v>
      </c>
      <c r="J16" s="352">
        <v>0</v>
      </c>
      <c r="K16" s="281">
        <f>$G$16/$F$16</f>
        <v>47850</v>
      </c>
      <c r="L16" s="282">
        <f t="shared" ref="L16:M16" si="2">$G$16/$F$16</f>
        <v>47850</v>
      </c>
      <c r="M16" s="283">
        <f t="shared" si="2"/>
        <v>47850</v>
      </c>
    </row>
    <row r="17" spans="2:13" x14ac:dyDescent="0.3">
      <c r="B17" s="897"/>
      <c r="C17" s="329" t="s">
        <v>295</v>
      </c>
      <c r="D17" s="213">
        <f>'Modelo de inversión'!C28</f>
        <v>1</v>
      </c>
      <c r="E17" s="268">
        <f>'Modelo de inversión'!D28</f>
        <v>478500</v>
      </c>
      <c r="F17" s="342">
        <v>10</v>
      </c>
      <c r="G17" s="347">
        <v>0</v>
      </c>
      <c r="H17" s="284">
        <f t="shared" ref="H17:H23" si="3">D17*E17</f>
        <v>478500</v>
      </c>
      <c r="I17" s="349">
        <v>0</v>
      </c>
      <c r="J17" s="352">
        <v>0</v>
      </c>
      <c r="K17" s="355">
        <v>0</v>
      </c>
      <c r="L17" s="282">
        <f>$H$17/$F$17</f>
        <v>47850</v>
      </c>
      <c r="M17" s="283">
        <f>$H$17/$F$17</f>
        <v>47850</v>
      </c>
    </row>
    <row r="18" spans="2:13" x14ac:dyDescent="0.3">
      <c r="B18" s="897"/>
      <c r="C18" s="329" t="s">
        <v>295</v>
      </c>
      <c r="D18" s="213">
        <f>'Modelo de inversión'!C60</f>
        <v>2</v>
      </c>
      <c r="E18" s="268">
        <f>'Modelo de inversión'!D60</f>
        <v>478500</v>
      </c>
      <c r="F18" s="342">
        <v>10</v>
      </c>
      <c r="G18" s="347">
        <v>0</v>
      </c>
      <c r="H18" s="349">
        <v>0</v>
      </c>
      <c r="I18" s="349">
        <v>0</v>
      </c>
      <c r="J18" s="286">
        <f>D18*E18</f>
        <v>957000</v>
      </c>
      <c r="K18" s="355">
        <v>0</v>
      </c>
      <c r="L18" s="357">
        <v>0</v>
      </c>
      <c r="M18" s="358">
        <v>0</v>
      </c>
    </row>
    <row r="19" spans="2:13" x14ac:dyDescent="0.3">
      <c r="B19" s="897"/>
      <c r="C19" s="329" t="s">
        <v>296</v>
      </c>
      <c r="D19" s="213">
        <f>'Modelo de inversión'!C14</f>
        <v>1</v>
      </c>
      <c r="E19" s="268">
        <f>'Modelo de inversión'!D14</f>
        <v>580500</v>
      </c>
      <c r="F19" s="342">
        <v>10</v>
      </c>
      <c r="G19" s="280">
        <f t="shared" si="1"/>
        <v>580500</v>
      </c>
      <c r="H19" s="349">
        <v>0</v>
      </c>
      <c r="I19" s="349">
        <v>0</v>
      </c>
      <c r="J19" s="352">
        <v>0</v>
      </c>
      <c r="K19" s="281">
        <f>$G$19/$F$19</f>
        <v>58050</v>
      </c>
      <c r="L19" s="282">
        <f t="shared" ref="L19:M19" si="4">$G$19/$F$19</f>
        <v>58050</v>
      </c>
      <c r="M19" s="283">
        <f t="shared" si="4"/>
        <v>58050</v>
      </c>
    </row>
    <row r="20" spans="2:13" x14ac:dyDescent="0.3">
      <c r="B20" s="897"/>
      <c r="C20" s="329" t="s">
        <v>296</v>
      </c>
      <c r="D20" s="213">
        <f>'Modelo de inversión'!C29</f>
        <v>1</v>
      </c>
      <c r="E20" s="268">
        <f>'Modelo de inversión'!D29</f>
        <v>580500</v>
      </c>
      <c r="F20" s="342">
        <v>10</v>
      </c>
      <c r="G20" s="347">
        <v>0</v>
      </c>
      <c r="H20" s="284">
        <f t="shared" si="3"/>
        <v>580500</v>
      </c>
      <c r="I20" s="349">
        <v>0</v>
      </c>
      <c r="J20" s="352">
        <v>0</v>
      </c>
      <c r="K20" s="355">
        <v>0</v>
      </c>
      <c r="L20" s="282">
        <f>$H$20/$F$20</f>
        <v>58050</v>
      </c>
      <c r="M20" s="283">
        <f>$H$20/$F$20</f>
        <v>58050</v>
      </c>
    </row>
    <row r="21" spans="2:13" x14ac:dyDescent="0.3">
      <c r="B21" s="897"/>
      <c r="C21" s="329" t="s">
        <v>296</v>
      </c>
      <c r="D21" s="213">
        <f>'Modelo de inversión'!C61</f>
        <v>2</v>
      </c>
      <c r="E21" s="268">
        <f>'Modelo de inversión'!D61</f>
        <v>580500</v>
      </c>
      <c r="F21" s="342">
        <v>10</v>
      </c>
      <c r="G21" s="347">
        <v>0</v>
      </c>
      <c r="H21" s="349">
        <v>0</v>
      </c>
      <c r="I21" s="349">
        <v>0</v>
      </c>
      <c r="J21" s="354">
        <f>D21*E21</f>
        <v>1161000</v>
      </c>
      <c r="K21" s="355">
        <v>0</v>
      </c>
      <c r="L21" s="357">
        <v>0</v>
      </c>
      <c r="M21" s="358">
        <v>0</v>
      </c>
    </row>
    <row r="22" spans="2:13" x14ac:dyDescent="0.3">
      <c r="B22" s="897"/>
      <c r="C22" s="329" t="s">
        <v>297</v>
      </c>
      <c r="D22" s="213">
        <f>'Modelo de inversión'!C15</f>
        <v>1</v>
      </c>
      <c r="E22" s="268">
        <f>'Modelo de inversión'!D15</f>
        <v>4510000</v>
      </c>
      <c r="F22" s="342">
        <v>10</v>
      </c>
      <c r="G22" s="280">
        <f t="shared" si="1"/>
        <v>4510000</v>
      </c>
      <c r="H22" s="349">
        <v>0</v>
      </c>
      <c r="I22" s="349">
        <v>0</v>
      </c>
      <c r="J22" s="353">
        <v>0</v>
      </c>
      <c r="K22" s="281">
        <f>$G$22/$F$22</f>
        <v>451000</v>
      </c>
      <c r="L22" s="282">
        <f t="shared" ref="L22:M22" si="5">$G$22/$F$22</f>
        <v>451000</v>
      </c>
      <c r="M22" s="283">
        <f t="shared" si="5"/>
        <v>451000</v>
      </c>
    </row>
    <row r="23" spans="2:13" x14ac:dyDescent="0.3">
      <c r="B23" s="897"/>
      <c r="C23" s="329" t="s">
        <v>297</v>
      </c>
      <c r="D23" s="213">
        <f>'Modelo de inversión'!C30</f>
        <v>1</v>
      </c>
      <c r="E23" s="268">
        <f>'Modelo de inversión'!D30</f>
        <v>4510000</v>
      </c>
      <c r="F23" s="342">
        <v>10</v>
      </c>
      <c r="G23" s="346">
        <v>0</v>
      </c>
      <c r="H23" s="284">
        <f t="shared" si="3"/>
        <v>4510000</v>
      </c>
      <c r="I23" s="349">
        <v>0</v>
      </c>
      <c r="J23" s="353">
        <v>0</v>
      </c>
      <c r="K23" s="355">
        <v>0</v>
      </c>
      <c r="L23" s="282">
        <f>$H$23/$F$23</f>
        <v>451000</v>
      </c>
      <c r="M23" s="283">
        <f>$H$23/$F$23</f>
        <v>451000</v>
      </c>
    </row>
    <row r="24" spans="2:13" ht="15" thickBot="1" x14ac:dyDescent="0.35">
      <c r="B24" s="898"/>
      <c r="C24" s="344" t="s">
        <v>297</v>
      </c>
      <c r="D24" s="270">
        <f>'Modelo de inversión'!C62</f>
        <v>2</v>
      </c>
      <c r="E24" s="265">
        <f>'Modelo de inversión'!D62</f>
        <v>4510000</v>
      </c>
      <c r="F24" s="343">
        <v>10</v>
      </c>
      <c r="G24" s="346">
        <v>0</v>
      </c>
      <c r="H24" s="350">
        <v>0</v>
      </c>
      <c r="I24" s="350">
        <v>0</v>
      </c>
      <c r="J24" s="285">
        <f>D24*E24</f>
        <v>9020000</v>
      </c>
      <c r="K24" s="356">
        <v>0</v>
      </c>
      <c r="L24" s="359">
        <v>0</v>
      </c>
      <c r="M24" s="360">
        <v>0</v>
      </c>
    </row>
    <row r="25" spans="2:13" x14ac:dyDescent="0.3">
      <c r="B25" s="899" t="s">
        <v>273</v>
      </c>
      <c r="C25" s="326" t="s">
        <v>312</v>
      </c>
      <c r="D25" s="275">
        <f>'Modelo de inversión'!C39</f>
        <v>4</v>
      </c>
      <c r="E25" s="276">
        <f>'Modelo de inversión'!D39</f>
        <v>5900000</v>
      </c>
      <c r="F25" s="341">
        <v>5</v>
      </c>
      <c r="G25" s="361">
        <v>0</v>
      </c>
      <c r="H25" s="348">
        <v>0</v>
      </c>
      <c r="I25" s="365">
        <f>D25*E25</f>
        <v>23600000</v>
      </c>
      <c r="J25" s="351">
        <v>0</v>
      </c>
      <c r="K25" s="363">
        <v>0</v>
      </c>
      <c r="L25" s="364">
        <v>0</v>
      </c>
      <c r="M25" s="279">
        <f>$I$25/$F$25</f>
        <v>4720000</v>
      </c>
    </row>
    <row r="26" spans="2:13" x14ac:dyDescent="0.3">
      <c r="B26" s="900"/>
      <c r="C26" s="267" t="s">
        <v>312</v>
      </c>
      <c r="D26" s="213">
        <f>'Modelo de inversión'!C55</f>
        <v>2</v>
      </c>
      <c r="E26" s="268">
        <f>'Modelo de inversión'!D55</f>
        <v>5900000</v>
      </c>
      <c r="F26" s="342">
        <v>5</v>
      </c>
      <c r="G26" s="347">
        <v>0</v>
      </c>
      <c r="H26" s="349">
        <v>0</v>
      </c>
      <c r="I26" s="349">
        <v>0</v>
      </c>
      <c r="J26" s="286">
        <f>D26*E26</f>
        <v>11800000</v>
      </c>
      <c r="K26" s="355">
        <v>0</v>
      </c>
      <c r="L26" s="357">
        <v>0</v>
      </c>
      <c r="M26" s="358">
        <v>0</v>
      </c>
    </row>
    <row r="27" spans="2:13" x14ac:dyDescent="0.3">
      <c r="B27" s="900"/>
      <c r="C27" s="267" t="s">
        <v>293</v>
      </c>
      <c r="D27" s="213">
        <f>'Modelo de inversión'!C27</f>
        <v>1</v>
      </c>
      <c r="E27" s="268">
        <f>'Modelo de inversión'!D27</f>
        <v>1750000</v>
      </c>
      <c r="F27" s="342">
        <v>5</v>
      </c>
      <c r="G27" s="347">
        <v>0</v>
      </c>
      <c r="H27" s="284">
        <f>D27*E27</f>
        <v>1750000</v>
      </c>
      <c r="I27" s="349">
        <v>0</v>
      </c>
      <c r="J27" s="352">
        <v>0</v>
      </c>
      <c r="K27" s="355">
        <v>0</v>
      </c>
      <c r="L27" s="282">
        <f>$H$27/$F$27</f>
        <v>350000</v>
      </c>
      <c r="M27" s="283">
        <f>$H$27/$F$27</f>
        <v>350000</v>
      </c>
    </row>
    <row r="28" spans="2:13" ht="15" thickBot="1" x14ac:dyDescent="0.35">
      <c r="B28" s="901"/>
      <c r="C28" s="267" t="s">
        <v>293</v>
      </c>
      <c r="D28" s="270">
        <f>'Modelo de inversión'!C59</f>
        <v>1</v>
      </c>
      <c r="E28" s="265">
        <f>'Modelo de inversión'!D59</f>
        <v>1750000</v>
      </c>
      <c r="F28" s="343">
        <v>5</v>
      </c>
      <c r="G28" s="362">
        <v>0</v>
      </c>
      <c r="H28" s="350">
        <v>0</v>
      </c>
      <c r="I28" s="350">
        <v>0</v>
      </c>
      <c r="J28" s="285">
        <f>D28*E28</f>
        <v>1750000</v>
      </c>
      <c r="K28" s="356">
        <v>0</v>
      </c>
      <c r="L28" s="359">
        <v>0</v>
      </c>
      <c r="M28" s="360">
        <v>0</v>
      </c>
    </row>
    <row r="29" spans="2:13" x14ac:dyDescent="0.3">
      <c r="B29" s="896" t="s">
        <v>274</v>
      </c>
      <c r="C29" s="340" t="s">
        <v>302</v>
      </c>
      <c r="D29" s="275">
        <f>'Modelo de inversión'!C24</f>
        <v>10</v>
      </c>
      <c r="E29" s="276">
        <f>'Modelo de inversión'!D24</f>
        <v>27000</v>
      </c>
      <c r="F29" s="341">
        <v>5</v>
      </c>
      <c r="G29" s="361">
        <v>0</v>
      </c>
      <c r="H29" s="365">
        <f>D29*E29</f>
        <v>270000</v>
      </c>
      <c r="I29" s="348">
        <v>0</v>
      </c>
      <c r="J29" s="351">
        <v>0</v>
      </c>
      <c r="K29" s="363">
        <v>0</v>
      </c>
      <c r="L29" s="278">
        <f>$H$29/$F$29</f>
        <v>54000</v>
      </c>
      <c r="M29" s="279">
        <f>$H$29/$F$29</f>
        <v>54000</v>
      </c>
    </row>
    <row r="30" spans="2:13" x14ac:dyDescent="0.3">
      <c r="B30" s="897"/>
      <c r="C30" s="267" t="s">
        <v>302</v>
      </c>
      <c r="D30" s="213">
        <f>'Modelo de inversión'!C40</f>
        <v>7</v>
      </c>
      <c r="E30" s="268">
        <f>'Modelo de inversión'!D40</f>
        <v>27000</v>
      </c>
      <c r="F30" s="342">
        <v>5</v>
      </c>
      <c r="G30" s="347">
        <v>0</v>
      </c>
      <c r="H30" s="349">
        <v>0</v>
      </c>
      <c r="I30" s="284">
        <f>D30*E30</f>
        <v>189000</v>
      </c>
      <c r="J30" s="352">
        <v>0</v>
      </c>
      <c r="K30" s="355">
        <v>0</v>
      </c>
      <c r="L30" s="357">
        <v>0</v>
      </c>
      <c r="M30" s="283">
        <f>$I$30/$F$30</f>
        <v>37800</v>
      </c>
    </row>
    <row r="31" spans="2:13" ht="15" thickBot="1" x14ac:dyDescent="0.35">
      <c r="B31" s="897"/>
      <c r="C31" s="267" t="s">
        <v>302</v>
      </c>
      <c r="D31" s="213">
        <f>'Modelo de inversión'!C56</f>
        <v>3</v>
      </c>
      <c r="E31" s="268">
        <f>'Modelo de inversión'!D56</f>
        <v>27000</v>
      </c>
      <c r="F31" s="342">
        <v>5</v>
      </c>
      <c r="G31" s="347">
        <v>0</v>
      </c>
      <c r="H31" s="349">
        <v>0</v>
      </c>
      <c r="I31" s="349">
        <v>0</v>
      </c>
      <c r="J31" s="286">
        <f>D31*E31</f>
        <v>81000</v>
      </c>
      <c r="K31" s="355">
        <v>0</v>
      </c>
      <c r="L31" s="357">
        <v>0</v>
      </c>
      <c r="M31" s="358">
        <v>0</v>
      </c>
    </row>
    <row r="32" spans="2:13" x14ac:dyDescent="0.3">
      <c r="B32" s="899" t="s">
        <v>275</v>
      </c>
      <c r="C32" s="340" t="s">
        <v>305</v>
      </c>
      <c r="D32" s="275">
        <f>'Modelo de inversión'!C26</f>
        <v>7</v>
      </c>
      <c r="E32" s="276">
        <f>'Modelo de inversión'!D26</f>
        <v>3289</v>
      </c>
      <c r="F32" s="341">
        <v>10</v>
      </c>
      <c r="G32" s="361">
        <v>0</v>
      </c>
      <c r="H32" s="365">
        <f>D32*E32</f>
        <v>23023</v>
      </c>
      <c r="I32" s="348">
        <v>0</v>
      </c>
      <c r="J32" s="351">
        <v>0</v>
      </c>
      <c r="K32" s="363">
        <v>0</v>
      </c>
      <c r="L32" s="278">
        <f>$H$32/$F$32</f>
        <v>2302.3000000000002</v>
      </c>
      <c r="M32" s="278">
        <f>$H$32/$F$32</f>
        <v>2302.3000000000002</v>
      </c>
    </row>
    <row r="33" spans="2:13" x14ac:dyDescent="0.3">
      <c r="B33" s="900"/>
      <c r="C33" s="267" t="s">
        <v>305</v>
      </c>
      <c r="D33" s="213">
        <f>'Modelo de inversión'!C42</f>
        <v>7</v>
      </c>
      <c r="E33" s="268">
        <f>'Modelo de inversión'!D42</f>
        <v>3289</v>
      </c>
      <c r="F33" s="342">
        <v>10</v>
      </c>
      <c r="G33" s="347">
        <v>0</v>
      </c>
      <c r="H33" s="349">
        <v>0</v>
      </c>
      <c r="I33" s="284">
        <f>D33*E33</f>
        <v>23023</v>
      </c>
      <c r="J33" s="352">
        <v>0</v>
      </c>
      <c r="K33" s="355">
        <v>0</v>
      </c>
      <c r="L33" s="357">
        <v>0</v>
      </c>
      <c r="M33" s="283">
        <f>$I$33/$F$33</f>
        <v>2302.3000000000002</v>
      </c>
    </row>
    <row r="34" spans="2:13" x14ac:dyDescent="0.3">
      <c r="B34" s="900"/>
      <c r="C34" s="267" t="s">
        <v>304</v>
      </c>
      <c r="D34" s="213">
        <f>'Modelo de inversión'!C25</f>
        <v>3</v>
      </c>
      <c r="E34" s="268">
        <f>'Modelo de inversión'!D25</f>
        <v>32900</v>
      </c>
      <c r="F34" s="342">
        <v>10</v>
      </c>
      <c r="G34" s="347">
        <v>0</v>
      </c>
      <c r="H34" s="284">
        <f>D34*E34</f>
        <v>98700</v>
      </c>
      <c r="I34" s="349">
        <v>0</v>
      </c>
      <c r="J34" s="352">
        <v>0</v>
      </c>
      <c r="K34" s="355">
        <v>0</v>
      </c>
      <c r="L34" s="282">
        <f>$H$34/$F$34</f>
        <v>9870</v>
      </c>
      <c r="M34" s="282">
        <f>$H$34/$F$34</f>
        <v>9870</v>
      </c>
    </row>
    <row r="35" spans="2:13" ht="15" thickBot="1" x14ac:dyDescent="0.35">
      <c r="B35" s="900"/>
      <c r="C35" s="269" t="s">
        <v>304</v>
      </c>
      <c r="D35" s="270">
        <f>'Modelo de inversión'!C41</f>
        <v>3</v>
      </c>
      <c r="E35" s="265">
        <f>'Modelo de inversión'!D41</f>
        <v>32900</v>
      </c>
      <c r="F35" s="343">
        <v>10</v>
      </c>
      <c r="G35" s="347">
        <v>0</v>
      </c>
      <c r="H35" s="349">
        <v>0</v>
      </c>
      <c r="I35" s="284">
        <f>D35*E35</f>
        <v>98700</v>
      </c>
      <c r="J35" s="352">
        <v>0</v>
      </c>
      <c r="K35" s="355">
        <v>0</v>
      </c>
      <c r="L35" s="357">
        <v>0</v>
      </c>
      <c r="M35" s="283">
        <f>$I$35/$F$35</f>
        <v>9870</v>
      </c>
    </row>
    <row r="36" spans="2:13" ht="16.2" thickBot="1" x14ac:dyDescent="0.35">
      <c r="B36" s="902" t="s">
        <v>235</v>
      </c>
      <c r="C36" s="903"/>
      <c r="D36" s="903"/>
      <c r="E36" s="903"/>
      <c r="F36" s="903"/>
      <c r="G36" s="903"/>
      <c r="H36" s="903"/>
      <c r="I36" s="903"/>
      <c r="J36" s="904"/>
      <c r="K36" s="287">
        <f>SUM(K13:K35)</f>
        <v>629915</v>
      </c>
      <c r="L36" s="288">
        <f>SUM(L13:L35)</f>
        <v>1676002.3</v>
      </c>
      <c r="M36" s="289">
        <f>SUM(M13:M35)</f>
        <v>6445974.5999999996</v>
      </c>
    </row>
  </sheetData>
  <mergeCells count="20">
    <mergeCell ref="B13:B24"/>
    <mergeCell ref="B25:B28"/>
    <mergeCell ref="B29:B31"/>
    <mergeCell ref="B32:B35"/>
    <mergeCell ref="B36:J36"/>
    <mergeCell ref="D8:E8"/>
    <mergeCell ref="B10:M10"/>
    <mergeCell ref="B11:B12"/>
    <mergeCell ref="C11:C12"/>
    <mergeCell ref="D11:D12"/>
    <mergeCell ref="E11:E12"/>
    <mergeCell ref="F11:F12"/>
    <mergeCell ref="G11:J11"/>
    <mergeCell ref="K11:M11"/>
    <mergeCell ref="D7:E7"/>
    <mergeCell ref="F1:L1"/>
    <mergeCell ref="H4:J4"/>
    <mergeCell ref="B4:E4"/>
    <mergeCell ref="D5:E5"/>
    <mergeCell ref="D6:E6"/>
  </mergeCells>
  <pageMargins left="0.7" right="0.7" top="0.75" bottom="0.75" header="0.3" footer="0.3"/>
  <drawing r:id="rId1"/>
  <legacyDrawing r:id="rId2"/>
  <controls>
    <mc:AlternateContent xmlns:mc="http://schemas.openxmlformats.org/markup-compatibility/2006">
      <mc:Choice Requires="x14">
        <control shapeId="15363" r:id="rId3" name="btnSiguiente">
          <controlPr defaultSize="0" autoLine="0" r:id="rId4">
            <anchor moveWithCells="1">
              <from>
                <xdr:col>12</xdr:col>
                <xdr:colOff>815340</xdr:colOff>
                <xdr:row>0</xdr:row>
                <xdr:rowOff>106680</xdr:rowOff>
              </from>
              <to>
                <xdr:col>14</xdr:col>
                <xdr:colOff>594360</xdr:colOff>
                <xdr:row>0</xdr:row>
                <xdr:rowOff>403860</xdr:rowOff>
              </to>
            </anchor>
          </controlPr>
        </control>
      </mc:Choice>
      <mc:Fallback>
        <control shapeId="15363" r:id="rId3" name="btnSiguiente"/>
      </mc:Fallback>
    </mc:AlternateContent>
    <mc:AlternateContent xmlns:mc="http://schemas.openxmlformats.org/markup-compatibility/2006">
      <mc:Choice Requires="x14">
        <control shapeId="15362" r:id="rId5" name="btnAnterior">
          <controlPr defaultSize="0" autoLine="0" r:id="rId6">
            <anchor moveWithCells="1">
              <from>
                <xdr:col>11</xdr:col>
                <xdr:colOff>266700</xdr:colOff>
                <xdr:row>0</xdr:row>
                <xdr:rowOff>114300</xdr:rowOff>
              </from>
              <to>
                <xdr:col>12</xdr:col>
                <xdr:colOff>861060</xdr:colOff>
                <xdr:row>0</xdr:row>
                <xdr:rowOff>403860</xdr:rowOff>
              </to>
            </anchor>
          </controlPr>
        </control>
      </mc:Choice>
      <mc:Fallback>
        <control shapeId="15362" r:id="rId5" name="btnAnterior"/>
      </mc:Fallback>
    </mc:AlternateContent>
    <mc:AlternateContent xmlns:mc="http://schemas.openxmlformats.org/markup-compatibility/2006">
      <mc:Choice Requires="x14">
        <control shapeId="15361" r:id="rId7" name="btnIndice">
          <controlPr defaultSize="0" autoLine="0" r:id="rId8">
            <anchor moveWithCells="1">
              <from>
                <xdr:col>0</xdr:col>
                <xdr:colOff>327660</xdr:colOff>
                <xdr:row>0</xdr:row>
                <xdr:rowOff>106680</xdr:rowOff>
              </from>
              <to>
                <xdr:col>1</xdr:col>
                <xdr:colOff>1203960</xdr:colOff>
                <xdr:row>0</xdr:row>
                <xdr:rowOff>403860</xdr:rowOff>
              </to>
            </anchor>
          </controlPr>
        </control>
      </mc:Choice>
      <mc:Fallback>
        <control shapeId="15361" r:id="rId7" name="btnIndic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B1:N32"/>
  <sheetViews>
    <sheetView showGridLines="0" zoomScaleNormal="100" workbookViewId="0">
      <pane ySplit="1" topLeftCell="A7" activePane="bottomLeft" state="frozen"/>
      <selection pane="bottomLeft" activeCell="E12" sqref="E12"/>
    </sheetView>
  </sheetViews>
  <sheetFormatPr baseColWidth="10" defaultRowHeight="14.4" x14ac:dyDescent="0.3"/>
  <cols>
    <col min="3" max="3" width="27.88671875" customWidth="1"/>
    <col min="4" max="5" width="15" customWidth="1"/>
    <col min="6" max="6" width="17.5546875" customWidth="1"/>
    <col min="7" max="7" width="16.33203125" customWidth="1"/>
    <col min="9" max="9" width="19.5546875" customWidth="1"/>
    <col min="10" max="10" width="15.6640625" customWidth="1"/>
    <col min="12" max="12" width="18.44140625" customWidth="1"/>
    <col min="13" max="13" width="17.33203125" customWidth="1"/>
    <col min="14" max="14" width="15.6640625" customWidth="1"/>
  </cols>
  <sheetData>
    <row r="1" spans="2:14" s="454" customFormat="1" ht="48.75" customHeight="1" thickBot="1" x14ac:dyDescent="0.35">
      <c r="D1" s="926" t="s">
        <v>276</v>
      </c>
      <c r="E1" s="927"/>
      <c r="F1" s="927"/>
      <c r="G1" s="927"/>
      <c r="H1" s="927"/>
      <c r="I1" s="927"/>
      <c r="J1" s="927"/>
      <c r="K1" s="455"/>
      <c r="L1" s="455"/>
    </row>
    <row r="2" spans="2:14" ht="15" thickTop="1" x14ac:dyDescent="0.3"/>
    <row r="3" spans="2:14" ht="15" thickBot="1" x14ac:dyDescent="0.35"/>
    <row r="4" spans="2:14" ht="16.2" thickTop="1" x14ac:dyDescent="0.3">
      <c r="B4" s="804" t="s">
        <v>15</v>
      </c>
      <c r="C4" s="805"/>
      <c r="D4" s="805"/>
      <c r="E4" s="759"/>
    </row>
    <row r="5" spans="2:14" ht="15.6" x14ac:dyDescent="0.3">
      <c r="B5" s="17" t="s">
        <v>7</v>
      </c>
      <c r="C5" s="16" t="s">
        <v>8</v>
      </c>
      <c r="D5" s="751" t="s">
        <v>9</v>
      </c>
      <c r="E5" s="752"/>
    </row>
    <row r="6" spans="2:14" ht="15.6" x14ac:dyDescent="0.3">
      <c r="B6" s="18">
        <f>Hipótesis!B23</f>
        <v>2022</v>
      </c>
      <c r="C6" s="14">
        <f>Hipótesis!C23</f>
        <v>0.03</v>
      </c>
      <c r="D6" s="753">
        <f>Hipótesis!D23</f>
        <v>72000000</v>
      </c>
      <c r="E6" s="754"/>
    </row>
    <row r="7" spans="2:14" ht="15.6" x14ac:dyDescent="0.3">
      <c r="B7" s="18">
        <f>Hipótesis!B24</f>
        <v>2023</v>
      </c>
      <c r="C7" s="14">
        <f>Hipótesis!C24</f>
        <v>0.06</v>
      </c>
      <c r="D7" s="753">
        <f>Hipótesis!D24</f>
        <v>144000000</v>
      </c>
      <c r="E7" s="754"/>
    </row>
    <row r="8" spans="2:14" ht="16.2" thickBot="1" x14ac:dyDescent="0.35">
      <c r="B8" s="19">
        <f>Hipótesis!B25</f>
        <v>2024</v>
      </c>
      <c r="C8" s="20">
        <f>Hipótesis!C25</f>
        <v>0.1</v>
      </c>
      <c r="D8" s="755">
        <f>Hipótesis!D25</f>
        <v>240000000</v>
      </c>
      <c r="E8" s="756"/>
    </row>
    <row r="9" spans="2:14" ht="15.6" thickTop="1" thickBot="1" x14ac:dyDescent="0.35"/>
    <row r="10" spans="2:14" ht="26.4" thickBot="1" x14ac:dyDescent="0.55000000000000004">
      <c r="B10" s="879" t="s">
        <v>276</v>
      </c>
      <c r="C10" s="911"/>
      <c r="D10" s="911"/>
      <c r="E10" s="911"/>
      <c r="F10" s="911"/>
      <c r="G10" s="910"/>
      <c r="I10" s="312" t="s">
        <v>287</v>
      </c>
      <c r="J10" s="372">
        <v>0.84</v>
      </c>
      <c r="L10" s="920" t="s">
        <v>414</v>
      </c>
      <c r="M10" s="921"/>
      <c r="N10" s="922"/>
    </row>
    <row r="11" spans="2:14" ht="15" thickBot="1" x14ac:dyDescent="0.35">
      <c r="B11" s="912" t="s">
        <v>277</v>
      </c>
      <c r="C11" s="913"/>
      <c r="D11" s="369" t="s">
        <v>272</v>
      </c>
      <c r="E11" s="370">
        <v>2021</v>
      </c>
      <c r="F11" s="370">
        <v>2022</v>
      </c>
      <c r="G11" s="371">
        <v>2023</v>
      </c>
      <c r="H11" s="25"/>
      <c r="I11" s="313" t="s">
        <v>288</v>
      </c>
      <c r="J11" s="373">
        <f>+NPV(J10,D21:G21)</f>
        <v>-16353760.53865285</v>
      </c>
      <c r="K11" s="25"/>
      <c r="L11" s="521" t="s">
        <v>416</v>
      </c>
      <c r="M11" s="522" t="s">
        <v>324</v>
      </c>
      <c r="N11" s="523" t="s">
        <v>417</v>
      </c>
    </row>
    <row r="12" spans="2:14" ht="26.4" thickBot="1" x14ac:dyDescent="0.55000000000000004">
      <c r="B12" s="914" t="s">
        <v>58</v>
      </c>
      <c r="C12" s="915"/>
      <c r="D12" s="293" t="s">
        <v>265</v>
      </c>
      <c r="E12" s="294">
        <f>'Modelo de ingresos'!$C$20</f>
        <v>37200000</v>
      </c>
      <c r="F12" s="294">
        <f>'Modelo de ingresos'!$D$20</f>
        <v>74400000</v>
      </c>
      <c r="G12" s="295">
        <f>'Modelo de ingresos'!$E$20</f>
        <v>115955000</v>
      </c>
      <c r="H12" s="290"/>
      <c r="I12" s="314" t="s">
        <v>289</v>
      </c>
      <c r="J12" s="374" t="e">
        <f>+IRR(D21:G21,J10)</f>
        <v>#NUM!</v>
      </c>
      <c r="K12" s="25"/>
      <c r="L12" s="513" t="s">
        <v>418</v>
      </c>
      <c r="M12" s="514" t="s">
        <v>333</v>
      </c>
      <c r="N12" s="518">
        <v>0.57999999999999996</v>
      </c>
    </row>
    <row r="13" spans="2:14" ht="25.5" customHeight="1" thickBot="1" x14ac:dyDescent="0.35">
      <c r="B13" s="916" t="s">
        <v>279</v>
      </c>
      <c r="C13" s="296" t="s">
        <v>255</v>
      </c>
      <c r="D13" s="297" t="s">
        <v>265</v>
      </c>
      <c r="E13" s="268">
        <f>'Costos fijos'!H8</f>
        <v>7891200</v>
      </c>
      <c r="F13" s="268">
        <f>'Costos fijos'!I8</f>
        <v>11972400</v>
      </c>
      <c r="G13" s="272">
        <f>'Costos fijos'!J8</f>
        <v>18914400</v>
      </c>
      <c r="H13" s="291"/>
      <c r="I13" s="25"/>
      <c r="J13" s="25"/>
      <c r="K13" s="25"/>
      <c r="L13" s="515" t="s">
        <v>419</v>
      </c>
      <c r="M13" s="61" t="s">
        <v>330</v>
      </c>
      <c r="N13" s="519">
        <v>0.74</v>
      </c>
    </row>
    <row r="14" spans="2:14" ht="23.25" customHeight="1" thickBot="1" x14ac:dyDescent="0.35">
      <c r="B14" s="917"/>
      <c r="C14" s="296" t="s">
        <v>257</v>
      </c>
      <c r="D14" s="297" t="s">
        <v>265</v>
      </c>
      <c r="E14" s="268">
        <f>'Costos variables'!J5</f>
        <v>9615240</v>
      </c>
      <c r="F14" s="268">
        <f>'Costos variables'!K5</f>
        <v>18133720</v>
      </c>
      <c r="G14" s="268">
        <f>'Costos variables'!L5</f>
        <v>27417700</v>
      </c>
      <c r="H14" s="292"/>
      <c r="I14" s="923" t="s">
        <v>415</v>
      </c>
      <c r="J14" s="924"/>
      <c r="K14" s="25"/>
      <c r="L14" s="516" t="s">
        <v>420</v>
      </c>
      <c r="M14" s="517" t="s">
        <v>330</v>
      </c>
      <c r="N14" s="520">
        <v>0.65</v>
      </c>
    </row>
    <row r="15" spans="2:14" ht="22.5" customHeight="1" thickBot="1" x14ac:dyDescent="0.35">
      <c r="B15" s="918"/>
      <c r="C15" s="298" t="s">
        <v>278</v>
      </c>
      <c r="D15" s="299" t="s">
        <v>265</v>
      </c>
      <c r="E15" s="300">
        <f>'Costos RRHH'!E5</f>
        <v>31080950.586450003</v>
      </c>
      <c r="F15" s="300">
        <f>'Costos RRHH'!F5</f>
        <v>39922402.094400004</v>
      </c>
      <c r="G15" s="300">
        <f>'Costos RRHH'!G5</f>
        <v>65028176.810399979</v>
      </c>
      <c r="H15" s="25"/>
      <c r="I15" s="898"/>
      <c r="J15" s="925"/>
      <c r="M15" s="25"/>
    </row>
    <row r="16" spans="2:14" ht="15" thickBot="1" x14ac:dyDescent="0.35">
      <c r="B16" s="301" t="s">
        <v>280</v>
      </c>
      <c r="C16" s="302"/>
      <c r="D16" s="303" t="s">
        <v>265</v>
      </c>
      <c r="E16" s="304">
        <f>E12-E13-E14-E15</f>
        <v>-11387390.586450003</v>
      </c>
      <c r="F16" s="304">
        <f t="shared" ref="F16:G16" si="0">F12-F13-F14-F15</f>
        <v>4371477.9055999964</v>
      </c>
      <c r="G16" s="305">
        <f t="shared" si="0"/>
        <v>4594723.1896000206</v>
      </c>
      <c r="H16" s="25"/>
      <c r="M16" s="25"/>
    </row>
    <row r="17" spans="2:14" ht="15" thickBot="1" x14ac:dyDescent="0.35">
      <c r="B17" s="306" t="s">
        <v>281</v>
      </c>
      <c r="C17" s="307"/>
      <c r="D17" s="293" t="s">
        <v>265</v>
      </c>
      <c r="E17" s="294">
        <f>E12*0.03</f>
        <v>1116000</v>
      </c>
      <c r="F17" s="294">
        <f t="shared" ref="F17:G17" si="1">F12*0.03</f>
        <v>2232000</v>
      </c>
      <c r="G17" s="295">
        <f t="shared" si="1"/>
        <v>3478650</v>
      </c>
      <c r="H17" s="25"/>
      <c r="I17" s="912" t="s">
        <v>277</v>
      </c>
      <c r="J17" s="913"/>
      <c r="K17" s="369" t="s">
        <v>272</v>
      </c>
      <c r="L17" s="370">
        <v>2021</v>
      </c>
      <c r="M17" s="370">
        <v>2022</v>
      </c>
      <c r="N17" s="371">
        <v>2023</v>
      </c>
    </row>
    <row r="18" spans="2:14" ht="15" thickBot="1" x14ac:dyDescent="0.35">
      <c r="B18" s="928" t="s">
        <v>283</v>
      </c>
      <c r="C18" s="929"/>
      <c r="D18" s="299" t="s">
        <v>265</v>
      </c>
      <c r="E18" s="300">
        <v>0</v>
      </c>
      <c r="F18" s="300">
        <f>L18*0.35</f>
        <v>-4596656.9552575005</v>
      </c>
      <c r="G18" s="273">
        <f>M18*0.35</f>
        <v>162216.46195999873</v>
      </c>
      <c r="H18" s="25"/>
      <c r="I18" s="919" t="s">
        <v>282</v>
      </c>
      <c r="J18" s="913"/>
      <c r="K18" s="510"/>
      <c r="L18" s="511">
        <f>E16-E17-Amortización!K36</f>
        <v>-13133305.586450003</v>
      </c>
      <c r="M18" s="511">
        <f>F16-F17-Amortización!L36</f>
        <v>463475.6055999964</v>
      </c>
      <c r="N18" s="512">
        <f>G16-G17-Amortización!M36</f>
        <v>-5329901.410399979</v>
      </c>
    </row>
    <row r="19" spans="2:14" ht="15" thickBot="1" x14ac:dyDescent="0.35">
      <c r="B19" s="905" t="s">
        <v>284</v>
      </c>
      <c r="C19" s="906"/>
      <c r="D19" s="303" t="s">
        <v>265</v>
      </c>
      <c r="E19" s="304">
        <f>E16-E17-E18</f>
        <v>-12503390.586450003</v>
      </c>
      <c r="F19" s="304">
        <f>F16-F17-F18</f>
        <v>6736134.860857497</v>
      </c>
      <c r="G19" s="305">
        <f>G16-G17-G18</f>
        <v>953856.72764002194</v>
      </c>
      <c r="H19" s="25"/>
      <c r="I19" s="25"/>
    </row>
    <row r="20" spans="2:14" ht="15" thickBot="1" x14ac:dyDescent="0.35">
      <c r="B20" s="907" t="s">
        <v>285</v>
      </c>
      <c r="C20" s="908"/>
      <c r="D20" s="308">
        <f>-'Modelo de inversión'!H5</f>
        <v>-8491000</v>
      </c>
      <c r="E20" s="309">
        <f>-'Modelo de inversión'!I5</f>
        <v>-10440873</v>
      </c>
      <c r="F20" s="309">
        <f>-'Modelo de inversión'!J5</f>
        <v>-23910723</v>
      </c>
      <c r="G20" s="310">
        <f>-'Modelo de inversión'!K5</f>
        <v>-26229300</v>
      </c>
      <c r="H20" s="25"/>
      <c r="I20" s="25"/>
    </row>
    <row r="21" spans="2:14" ht="15" thickBot="1" x14ac:dyDescent="0.35">
      <c r="B21" s="909" t="s">
        <v>286</v>
      </c>
      <c r="C21" s="910"/>
      <c r="D21" s="311">
        <f>D20</f>
        <v>-8491000</v>
      </c>
      <c r="E21" s="304">
        <f>E19+E20</f>
        <v>-22944263.586450003</v>
      </c>
      <c r="F21" s="304">
        <f t="shared" ref="F21:G21" si="2">F19+F20</f>
        <v>-17174588.139142502</v>
      </c>
      <c r="G21" s="305">
        <f t="shared" si="2"/>
        <v>-25275443.272359978</v>
      </c>
      <c r="H21" s="25"/>
    </row>
    <row r="22" spans="2:14" x14ac:dyDescent="0.3">
      <c r="H22" s="25"/>
    </row>
    <row r="23" spans="2:14" x14ac:dyDescent="0.3">
      <c r="H23" s="25"/>
    </row>
    <row r="24" spans="2:14" x14ac:dyDescent="0.3">
      <c r="H24" s="25"/>
    </row>
    <row r="25" spans="2:14" x14ac:dyDescent="0.3">
      <c r="H25" s="25"/>
      <c r="I25" s="25"/>
    </row>
    <row r="26" spans="2:14" x14ac:dyDescent="0.3">
      <c r="B26" s="25"/>
      <c r="C26" s="25"/>
      <c r="D26" s="25"/>
      <c r="E26" s="25"/>
      <c r="F26" s="25"/>
      <c r="G26" s="25"/>
      <c r="H26" s="25"/>
      <c r="I26" s="25"/>
    </row>
    <row r="27" spans="2:14" x14ac:dyDescent="0.3">
      <c r="B27" s="25"/>
      <c r="C27" s="25"/>
      <c r="D27" s="25"/>
      <c r="E27" s="25"/>
      <c r="F27" s="25"/>
      <c r="G27" s="25"/>
      <c r="H27" s="25"/>
      <c r="I27" s="25"/>
    </row>
    <row r="28" spans="2:14" x14ac:dyDescent="0.3">
      <c r="B28" s="25"/>
      <c r="C28" s="25"/>
      <c r="D28" s="25"/>
      <c r="E28" s="25"/>
      <c r="F28" s="25"/>
      <c r="G28" s="25"/>
      <c r="H28" s="25"/>
      <c r="I28" s="25"/>
    </row>
    <row r="29" spans="2:14" x14ac:dyDescent="0.3">
      <c r="B29" s="25"/>
      <c r="C29" s="25"/>
      <c r="D29" s="25"/>
      <c r="E29" s="25"/>
      <c r="H29" s="25"/>
    </row>
    <row r="30" spans="2:14" x14ac:dyDescent="0.3">
      <c r="B30" s="25"/>
      <c r="C30" s="25"/>
      <c r="D30" s="25"/>
      <c r="E30" s="25"/>
      <c r="H30" s="25"/>
    </row>
    <row r="31" spans="2:14" x14ac:dyDescent="0.3">
      <c r="B31" s="25"/>
      <c r="C31" s="25"/>
      <c r="D31" s="25"/>
      <c r="E31" s="25"/>
      <c r="H31" s="25"/>
    </row>
    <row r="32" spans="2:14" x14ac:dyDescent="0.3">
      <c r="H32" s="25"/>
    </row>
  </sheetData>
  <mergeCells count="18">
    <mergeCell ref="I18:J18"/>
    <mergeCell ref="L10:N10"/>
    <mergeCell ref="I14:J15"/>
    <mergeCell ref="D1:J1"/>
    <mergeCell ref="B18:C18"/>
    <mergeCell ref="I17:J17"/>
    <mergeCell ref="B19:C19"/>
    <mergeCell ref="B20:C20"/>
    <mergeCell ref="B21:C21"/>
    <mergeCell ref="B4:E4"/>
    <mergeCell ref="D5:E5"/>
    <mergeCell ref="D6:E6"/>
    <mergeCell ref="D7:E7"/>
    <mergeCell ref="D8:E8"/>
    <mergeCell ref="B10:G10"/>
    <mergeCell ref="B11:C11"/>
    <mergeCell ref="B12:C12"/>
    <mergeCell ref="B13:B15"/>
  </mergeCells>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btnSiguiente">
          <controlPr defaultSize="0" autoLine="0" r:id="rId5">
            <anchor moveWithCells="1">
              <from>
                <xdr:col>9</xdr:col>
                <xdr:colOff>632460</xdr:colOff>
                <xdr:row>0</xdr:row>
                <xdr:rowOff>121920</xdr:rowOff>
              </from>
              <to>
                <xdr:col>11</xdr:col>
                <xdr:colOff>434340</xdr:colOff>
                <xdr:row>0</xdr:row>
                <xdr:rowOff>419100</xdr:rowOff>
              </to>
            </anchor>
          </controlPr>
        </control>
      </mc:Choice>
      <mc:Fallback>
        <control shapeId="16387" r:id="rId4" name="btnSiguiente"/>
      </mc:Fallback>
    </mc:AlternateContent>
    <mc:AlternateContent xmlns:mc="http://schemas.openxmlformats.org/markup-compatibility/2006">
      <mc:Choice Requires="x14">
        <control shapeId="16386" r:id="rId6" name="btnAnterior">
          <controlPr defaultSize="0" autoLine="0" r:id="rId7">
            <anchor moveWithCells="1">
              <from>
                <xdr:col>8</xdr:col>
                <xdr:colOff>304800</xdr:colOff>
                <xdr:row>0</xdr:row>
                <xdr:rowOff>121920</xdr:rowOff>
              </from>
              <to>
                <xdr:col>9</xdr:col>
                <xdr:colOff>632460</xdr:colOff>
                <xdr:row>0</xdr:row>
                <xdr:rowOff>419100</xdr:rowOff>
              </to>
            </anchor>
          </controlPr>
        </control>
      </mc:Choice>
      <mc:Fallback>
        <control shapeId="16386" r:id="rId6" name="btnAnterior"/>
      </mc:Fallback>
    </mc:AlternateContent>
    <mc:AlternateContent xmlns:mc="http://schemas.openxmlformats.org/markup-compatibility/2006">
      <mc:Choice Requires="x14">
        <control shapeId="16385" r:id="rId8" name="btnIndice">
          <controlPr defaultSize="0" autoLine="0" r:id="rId9">
            <anchor moveWithCells="1">
              <from>
                <xdr:col>0</xdr:col>
                <xdr:colOff>601980</xdr:colOff>
                <xdr:row>0</xdr:row>
                <xdr:rowOff>129540</xdr:rowOff>
              </from>
              <to>
                <xdr:col>2</xdr:col>
                <xdr:colOff>685800</xdr:colOff>
                <xdr:row>0</xdr:row>
                <xdr:rowOff>426720</xdr:rowOff>
              </to>
            </anchor>
          </controlPr>
        </control>
      </mc:Choice>
      <mc:Fallback>
        <control shapeId="16385" r:id="rId8" name="btnIndice"/>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4"/>
  <dimension ref="B1:L20"/>
  <sheetViews>
    <sheetView showGridLines="0" zoomScale="95" zoomScaleNormal="95" workbookViewId="0">
      <pane xSplit="2" ySplit="5" topLeftCell="C19" activePane="bottomRight" state="frozen"/>
      <selection pane="topRight" activeCell="C1" sqref="C1"/>
      <selection pane="bottomLeft" activeCell="A6" sqref="A6"/>
      <selection pane="bottomRight" activeCell="I6" sqref="I6"/>
    </sheetView>
  </sheetViews>
  <sheetFormatPr baseColWidth="10" defaultRowHeight="14.4" x14ac:dyDescent="0.3"/>
  <cols>
    <col min="3" max="3" width="35.88671875" customWidth="1"/>
    <col min="4" max="4" width="37.88671875" customWidth="1"/>
    <col min="5" max="5" width="31.5546875" customWidth="1"/>
    <col min="6" max="6" width="14.6640625" customWidth="1"/>
    <col min="7" max="7" width="12" customWidth="1"/>
  </cols>
  <sheetData>
    <row r="1" spans="2:12" s="442" customFormat="1" ht="42.75" customHeight="1" thickBot="1" x14ac:dyDescent="0.35">
      <c r="D1" s="926" t="s">
        <v>316</v>
      </c>
      <c r="E1" s="927"/>
      <c r="F1" s="927"/>
      <c r="G1" s="927"/>
      <c r="H1" s="927"/>
      <c r="I1" s="455"/>
      <c r="J1" s="455"/>
      <c r="K1" s="455"/>
      <c r="L1" s="455"/>
    </row>
    <row r="2" spans="2:12" ht="15" thickTop="1" x14ac:dyDescent="0.3"/>
    <row r="3" spans="2:12" ht="15" thickBot="1" x14ac:dyDescent="0.35"/>
    <row r="4" spans="2:12" ht="26.4" thickBot="1" x14ac:dyDescent="0.55000000000000004">
      <c r="B4" s="930" t="s">
        <v>322</v>
      </c>
      <c r="C4" s="931"/>
      <c r="D4" s="931"/>
      <c r="E4" s="931"/>
      <c r="F4" s="931"/>
      <c r="G4" s="932"/>
    </row>
    <row r="5" spans="2:12" ht="15" thickBot="1" x14ac:dyDescent="0.35">
      <c r="B5" s="417" t="s">
        <v>323</v>
      </c>
      <c r="C5" s="385" t="s">
        <v>324</v>
      </c>
      <c r="D5" s="385" t="s">
        <v>325</v>
      </c>
      <c r="E5" s="385" t="s">
        <v>326</v>
      </c>
      <c r="F5" s="418" t="s">
        <v>327</v>
      </c>
      <c r="G5" s="419" t="s">
        <v>328</v>
      </c>
    </row>
    <row r="6" spans="2:12" ht="63.75" customHeight="1" x14ac:dyDescent="0.3">
      <c r="B6" s="420">
        <v>1</v>
      </c>
      <c r="C6" s="437" t="s">
        <v>349</v>
      </c>
      <c r="D6" s="438" t="s">
        <v>350</v>
      </c>
      <c r="E6" s="438" t="s">
        <v>405</v>
      </c>
      <c r="F6" s="439" t="s">
        <v>329</v>
      </c>
      <c r="G6" s="440" t="s">
        <v>330</v>
      </c>
    </row>
    <row r="7" spans="2:12" ht="64.5" customHeight="1" x14ac:dyDescent="0.3">
      <c r="B7" s="421">
        <v>2</v>
      </c>
      <c r="C7" s="376" t="s">
        <v>351</v>
      </c>
      <c r="D7" s="377" t="s">
        <v>352</v>
      </c>
      <c r="E7" s="377" t="s">
        <v>353</v>
      </c>
      <c r="F7" s="422" t="s">
        <v>331</v>
      </c>
      <c r="G7" s="423" t="s">
        <v>330</v>
      </c>
    </row>
    <row r="8" spans="2:12" ht="80.25" customHeight="1" x14ac:dyDescent="0.3">
      <c r="B8" s="424">
        <v>3</v>
      </c>
      <c r="C8" s="380" t="s">
        <v>354</v>
      </c>
      <c r="D8" s="382" t="s">
        <v>355</v>
      </c>
      <c r="E8" s="382" t="s">
        <v>356</v>
      </c>
      <c r="F8" s="425" t="s">
        <v>329</v>
      </c>
      <c r="G8" s="426" t="s">
        <v>334</v>
      </c>
    </row>
    <row r="9" spans="2:12" ht="55.5" customHeight="1" x14ac:dyDescent="0.3">
      <c r="B9" s="427">
        <v>4</v>
      </c>
      <c r="C9" s="378" t="s">
        <v>386</v>
      </c>
      <c r="D9" s="379" t="s">
        <v>387</v>
      </c>
      <c r="E9" s="379" t="s">
        <v>388</v>
      </c>
      <c r="F9" s="428" t="s">
        <v>331</v>
      </c>
      <c r="G9" s="429" t="s">
        <v>333</v>
      </c>
    </row>
    <row r="10" spans="2:12" ht="53.25" customHeight="1" x14ac:dyDescent="0.3">
      <c r="B10" s="424">
        <v>5</v>
      </c>
      <c r="C10" s="411" t="s">
        <v>357</v>
      </c>
      <c r="D10" s="412" t="s">
        <v>359</v>
      </c>
      <c r="E10" s="412" t="s">
        <v>358</v>
      </c>
      <c r="F10" s="430" t="s">
        <v>330</v>
      </c>
      <c r="G10" s="431" t="s">
        <v>333</v>
      </c>
    </row>
    <row r="11" spans="2:12" ht="62.25" customHeight="1" x14ac:dyDescent="0.3">
      <c r="B11" s="424">
        <v>6</v>
      </c>
      <c r="C11" s="414" t="s">
        <v>332</v>
      </c>
      <c r="D11" s="415" t="s">
        <v>360</v>
      </c>
      <c r="E11" s="415" t="s">
        <v>361</v>
      </c>
      <c r="F11" s="432" t="s">
        <v>331</v>
      </c>
      <c r="G11" s="433" t="s">
        <v>330</v>
      </c>
    </row>
    <row r="12" spans="2:12" ht="33.75" customHeight="1" x14ac:dyDescent="0.3">
      <c r="B12" s="424">
        <v>7</v>
      </c>
      <c r="C12" s="378" t="s">
        <v>362</v>
      </c>
      <c r="D12" s="413" t="s">
        <v>363</v>
      </c>
      <c r="E12" s="413" t="s">
        <v>364</v>
      </c>
      <c r="F12" s="428" t="s">
        <v>331</v>
      </c>
      <c r="G12" s="429" t="s">
        <v>334</v>
      </c>
    </row>
    <row r="13" spans="2:12" ht="28.8" x14ac:dyDescent="0.3">
      <c r="B13" s="424">
        <v>8</v>
      </c>
      <c r="C13" s="380" t="s">
        <v>365</v>
      </c>
      <c r="D13" s="381" t="s">
        <v>366</v>
      </c>
      <c r="E13" s="381" t="s">
        <v>367</v>
      </c>
      <c r="F13" s="425" t="s">
        <v>329</v>
      </c>
      <c r="G13" s="426" t="s">
        <v>333</v>
      </c>
    </row>
    <row r="14" spans="2:12" ht="28.8" x14ac:dyDescent="0.3">
      <c r="B14" s="421">
        <v>9</v>
      </c>
      <c r="C14" s="410" t="s">
        <v>368</v>
      </c>
      <c r="D14" s="381" t="s">
        <v>369</v>
      </c>
      <c r="E14" s="381" t="s">
        <v>370</v>
      </c>
      <c r="F14" s="425" t="s">
        <v>329</v>
      </c>
      <c r="G14" s="426" t="s">
        <v>334</v>
      </c>
    </row>
    <row r="15" spans="2:12" ht="47.25" customHeight="1" x14ac:dyDescent="0.3">
      <c r="B15" s="424">
        <v>10</v>
      </c>
      <c r="C15" s="376" t="s">
        <v>371</v>
      </c>
      <c r="D15" s="377" t="s">
        <v>372</v>
      </c>
      <c r="E15" s="377" t="s">
        <v>373</v>
      </c>
      <c r="F15" s="422" t="s">
        <v>329</v>
      </c>
      <c r="G15" s="423" t="s">
        <v>333</v>
      </c>
    </row>
    <row r="16" spans="2:12" ht="54.75" customHeight="1" x14ac:dyDescent="0.3">
      <c r="B16" s="427">
        <v>11</v>
      </c>
      <c r="C16" s="414" t="s">
        <v>374</v>
      </c>
      <c r="D16" s="415" t="s">
        <v>375</v>
      </c>
      <c r="E16" s="415" t="s">
        <v>406</v>
      </c>
      <c r="F16" s="432" t="s">
        <v>329</v>
      </c>
      <c r="G16" s="433" t="s">
        <v>330</v>
      </c>
    </row>
    <row r="17" spans="2:7" ht="46.5" customHeight="1" x14ac:dyDescent="0.3">
      <c r="B17" s="424">
        <v>12</v>
      </c>
      <c r="C17" s="378" t="s">
        <v>376</v>
      </c>
      <c r="D17" s="379" t="s">
        <v>377</v>
      </c>
      <c r="E17" s="379" t="s">
        <v>378</v>
      </c>
      <c r="F17" s="428" t="s">
        <v>331</v>
      </c>
      <c r="G17" s="429" t="s">
        <v>333</v>
      </c>
    </row>
    <row r="18" spans="2:7" ht="60" customHeight="1" x14ac:dyDescent="0.3">
      <c r="B18" s="424">
        <v>13</v>
      </c>
      <c r="C18" s="380" t="s">
        <v>379</v>
      </c>
      <c r="D18" s="381" t="s">
        <v>380</v>
      </c>
      <c r="E18" s="381" t="s">
        <v>382</v>
      </c>
      <c r="F18" s="425" t="s">
        <v>331</v>
      </c>
      <c r="G18" s="426" t="s">
        <v>334</v>
      </c>
    </row>
    <row r="19" spans="2:7" ht="28.5" customHeight="1" x14ac:dyDescent="0.3">
      <c r="B19" s="424">
        <v>14</v>
      </c>
      <c r="C19" s="380" t="s">
        <v>383</v>
      </c>
      <c r="D19" s="381" t="s">
        <v>384</v>
      </c>
      <c r="E19" s="381" t="s">
        <v>385</v>
      </c>
      <c r="F19" s="425" t="s">
        <v>329</v>
      </c>
      <c r="G19" s="426" t="s">
        <v>334</v>
      </c>
    </row>
    <row r="20" spans="2:7" ht="29.25" customHeight="1" thickBot="1" x14ac:dyDescent="0.35">
      <c r="B20" s="434">
        <v>15</v>
      </c>
      <c r="C20" s="383" t="s">
        <v>335</v>
      </c>
      <c r="D20" s="384" t="s">
        <v>381</v>
      </c>
      <c r="E20" s="384" t="s">
        <v>373</v>
      </c>
      <c r="F20" s="435" t="s">
        <v>331</v>
      </c>
      <c r="G20" s="436" t="s">
        <v>333</v>
      </c>
    </row>
  </sheetData>
  <mergeCells count="2">
    <mergeCell ref="B4:G4"/>
    <mergeCell ref="D1:H1"/>
  </mergeCells>
  <pageMargins left="0.7" right="0.7" top="0.75" bottom="0.75" header="0.3" footer="0.3"/>
  <pageSetup orientation="portrait" r:id="rId1"/>
  <drawing r:id="rId2"/>
  <legacyDrawing r:id="rId3"/>
  <controls>
    <mc:AlternateContent xmlns:mc="http://schemas.openxmlformats.org/markup-compatibility/2006">
      <mc:Choice Requires="x14">
        <control shapeId="17411" r:id="rId4" name="btnSiguiente">
          <controlPr defaultSize="0" autoLine="0" r:id="rId5">
            <anchor moveWithCells="1">
              <from>
                <xdr:col>7</xdr:col>
                <xdr:colOff>464820</xdr:colOff>
                <xdr:row>0</xdr:row>
                <xdr:rowOff>106680</xdr:rowOff>
              </from>
              <to>
                <xdr:col>9</xdr:col>
                <xdr:colOff>548640</xdr:colOff>
                <xdr:row>0</xdr:row>
                <xdr:rowOff>403860</xdr:rowOff>
              </to>
            </anchor>
          </controlPr>
        </control>
      </mc:Choice>
      <mc:Fallback>
        <control shapeId="17411" r:id="rId4" name="btnSiguiente"/>
      </mc:Fallback>
    </mc:AlternateContent>
    <mc:AlternateContent xmlns:mc="http://schemas.openxmlformats.org/markup-compatibility/2006">
      <mc:Choice Requires="x14">
        <control shapeId="17410" r:id="rId6" name="btnAnterior">
          <controlPr defaultSize="0" autoLine="0" r:id="rId7">
            <anchor moveWithCells="1">
              <from>
                <xdr:col>5</xdr:col>
                <xdr:colOff>525780</xdr:colOff>
                <xdr:row>0</xdr:row>
                <xdr:rowOff>114300</xdr:rowOff>
              </from>
              <to>
                <xdr:col>7</xdr:col>
                <xdr:colOff>365760</xdr:colOff>
                <xdr:row>0</xdr:row>
                <xdr:rowOff>411480</xdr:rowOff>
              </to>
            </anchor>
          </controlPr>
        </control>
      </mc:Choice>
      <mc:Fallback>
        <control shapeId="17410" r:id="rId6" name="btnAnterior"/>
      </mc:Fallback>
    </mc:AlternateContent>
    <mc:AlternateContent xmlns:mc="http://schemas.openxmlformats.org/markup-compatibility/2006">
      <mc:Choice Requires="x14">
        <control shapeId="17409" r:id="rId8" name="btnIndice">
          <controlPr defaultSize="0" autoLine="0" r:id="rId9">
            <anchor moveWithCells="1">
              <from>
                <xdr:col>2</xdr:col>
                <xdr:colOff>220980</xdr:colOff>
                <xdr:row>0</xdr:row>
                <xdr:rowOff>106680</xdr:rowOff>
              </from>
              <to>
                <xdr:col>2</xdr:col>
                <xdr:colOff>1889760</xdr:colOff>
                <xdr:row>0</xdr:row>
                <xdr:rowOff>403860</xdr:rowOff>
              </to>
            </anchor>
          </controlPr>
        </control>
      </mc:Choice>
      <mc:Fallback>
        <control shapeId="17409" r:id="rId8" name="btnIndice"/>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5"/>
  <dimension ref="B1:L39"/>
  <sheetViews>
    <sheetView showGridLines="0" workbookViewId="0">
      <pane ySplit="1" topLeftCell="A20" activePane="bottomLeft" state="frozen"/>
      <selection pane="bottomLeft" activeCell="J38" sqref="J38"/>
    </sheetView>
  </sheetViews>
  <sheetFormatPr baseColWidth="10" defaultRowHeight="14.4" x14ac:dyDescent="0.3"/>
  <cols>
    <col min="3" max="3" width="24.33203125" customWidth="1"/>
    <col min="4" max="4" width="19.109375" customWidth="1"/>
    <col min="5" max="5" width="22.44140625" customWidth="1"/>
    <col min="6" max="6" width="21.88671875" customWidth="1"/>
    <col min="7" max="7" width="16.6640625" customWidth="1"/>
    <col min="8" max="8" width="19.109375" customWidth="1"/>
    <col min="11" max="11" width="42.5546875" customWidth="1"/>
  </cols>
  <sheetData>
    <row r="1" spans="2:12" s="442" customFormat="1" ht="39.75" customHeight="1" thickBot="1" x14ac:dyDescent="0.35">
      <c r="D1" s="840" t="s">
        <v>389</v>
      </c>
      <c r="E1" s="840"/>
      <c r="F1" s="840"/>
      <c r="G1" s="840"/>
      <c r="H1" s="840"/>
      <c r="I1" s="840"/>
      <c r="J1" s="840"/>
      <c r="K1" s="840"/>
    </row>
    <row r="2" spans="2:12" ht="15.6" thickTop="1" thickBot="1" x14ac:dyDescent="0.35"/>
    <row r="3" spans="2:12" ht="15" thickBot="1" x14ac:dyDescent="0.35">
      <c r="B3" s="386"/>
      <c r="C3" s="387"/>
      <c r="D3" s="387"/>
      <c r="E3" s="387"/>
      <c r="F3" s="387"/>
      <c r="G3" s="387"/>
      <c r="H3" s="387"/>
      <c r="I3" s="387"/>
      <c r="J3" s="387"/>
      <c r="K3" s="387"/>
      <c r="L3" s="388"/>
    </row>
    <row r="4" spans="2:12" ht="15" thickBot="1" x14ac:dyDescent="0.35">
      <c r="B4" s="389"/>
      <c r="C4" s="941" t="s">
        <v>336</v>
      </c>
      <c r="D4" s="942"/>
      <c r="E4" s="942"/>
      <c r="F4" s="942"/>
      <c r="G4" s="942"/>
      <c r="H4" s="942"/>
      <c r="I4" s="942"/>
      <c r="J4" s="942"/>
      <c r="K4" s="943"/>
      <c r="L4" s="390"/>
    </row>
    <row r="5" spans="2:12" ht="15" thickBot="1" x14ac:dyDescent="0.35">
      <c r="B5" s="389"/>
      <c r="C5" s="25"/>
      <c r="D5" s="25"/>
      <c r="E5" s="25"/>
      <c r="F5" s="25"/>
      <c r="G5" s="25"/>
      <c r="H5" s="25"/>
      <c r="I5" s="25"/>
      <c r="J5" s="25"/>
      <c r="K5" s="25"/>
      <c r="L5" s="390"/>
    </row>
    <row r="6" spans="2:12" ht="15" thickBot="1" x14ac:dyDescent="0.35">
      <c r="B6" s="389"/>
      <c r="C6" s="25"/>
      <c r="D6" s="25"/>
      <c r="E6" s="25"/>
      <c r="F6" s="949" t="s">
        <v>337</v>
      </c>
      <c r="G6" s="950"/>
      <c r="H6" s="951"/>
      <c r="I6" s="25"/>
      <c r="J6" s="25"/>
      <c r="K6" s="443" t="s">
        <v>344</v>
      </c>
      <c r="L6" s="390"/>
    </row>
    <row r="7" spans="2:12" x14ac:dyDescent="0.3">
      <c r="B7" s="389"/>
      <c r="C7" s="25"/>
      <c r="D7" s="25"/>
      <c r="E7" s="25"/>
      <c r="F7" s="445">
        <f>Hipótesis!B23</f>
        <v>2022</v>
      </c>
      <c r="G7" s="445">
        <f>Hipótesis!B24</f>
        <v>2023</v>
      </c>
      <c r="H7" s="445">
        <f>Hipótesis!B25</f>
        <v>2024</v>
      </c>
      <c r="I7" s="25"/>
      <c r="J7" s="25"/>
      <c r="K7" s="944" t="str">
        <f>'Matriz de riesgo'!C6</f>
        <v>Aumento inflacionario de un 33% en el año 2022.</v>
      </c>
      <c r="L7" s="390"/>
    </row>
    <row r="8" spans="2:12" x14ac:dyDescent="0.3">
      <c r="B8" s="389"/>
      <c r="C8" s="25"/>
      <c r="D8" s="25"/>
      <c r="E8" s="25"/>
      <c r="F8" s="391">
        <f>Hipótesis!C23</f>
        <v>0.03</v>
      </c>
      <c r="G8" s="391">
        <f>Hipótesis!C24</f>
        <v>0.06</v>
      </c>
      <c r="H8" s="391">
        <f>Hipótesis!C25</f>
        <v>0.1</v>
      </c>
      <c r="I8" s="25"/>
      <c r="J8" s="25"/>
      <c r="K8" s="945"/>
      <c r="L8" s="390"/>
    </row>
    <row r="9" spans="2:12" ht="15" thickBot="1" x14ac:dyDescent="0.35">
      <c r="B9" s="389"/>
      <c r="C9" s="25"/>
      <c r="D9" s="25"/>
      <c r="E9" s="441" t="s">
        <v>338</v>
      </c>
      <c r="F9" s="349">
        <f>Hipótesis!D23</f>
        <v>72000000</v>
      </c>
      <c r="G9" s="349">
        <f>Hipótesis!D24</f>
        <v>144000000</v>
      </c>
      <c r="H9" s="349">
        <f>Hipótesis!D25</f>
        <v>240000000</v>
      </c>
      <c r="I9" s="25"/>
      <c r="J9" s="25"/>
      <c r="K9" s="946"/>
      <c r="L9" s="390"/>
    </row>
    <row r="10" spans="2:12" ht="15" thickBot="1" x14ac:dyDescent="0.35">
      <c r="B10" s="389"/>
      <c r="C10" s="25"/>
      <c r="D10" s="25"/>
      <c r="E10" s="441" t="s">
        <v>255</v>
      </c>
      <c r="F10" s="392">
        <f>'Presupuesto financiero'!E13</f>
        <v>7891200</v>
      </c>
      <c r="G10" s="392">
        <f>'Presupuesto financiero'!F13</f>
        <v>11972400</v>
      </c>
      <c r="H10" s="392">
        <f>'Presupuesto financiero'!G13</f>
        <v>18914400</v>
      </c>
      <c r="I10" s="25"/>
      <c r="J10" s="25"/>
      <c r="K10" s="443" t="s">
        <v>325</v>
      </c>
      <c r="L10" s="390"/>
    </row>
    <row r="11" spans="2:12" x14ac:dyDescent="0.3">
      <c r="B11" s="389"/>
      <c r="C11" s="25"/>
      <c r="D11" s="25"/>
      <c r="E11" s="441" t="s">
        <v>257</v>
      </c>
      <c r="F11" s="392">
        <f>'Presupuesto financiero'!E14</f>
        <v>9615240</v>
      </c>
      <c r="G11" s="392">
        <f>'Presupuesto financiero'!F14</f>
        <v>18133720</v>
      </c>
      <c r="H11" s="392">
        <f>'Presupuesto financiero'!G14</f>
        <v>27417700</v>
      </c>
      <c r="I11" s="25"/>
      <c r="J11" s="25"/>
      <c r="K11" s="944" t="str">
        <f>'Matriz de riesgo'!D6</f>
        <v xml:space="preserve">Debido al esquema de políticas macroeconómicas, fiscal y cambiarias asociadas a las decisiones gubernamentales las ventas bajan por la crísis que vive el país. </v>
      </c>
      <c r="L11" s="390"/>
    </row>
    <row r="12" spans="2:12" x14ac:dyDescent="0.3">
      <c r="B12" s="389"/>
      <c r="C12" s="25"/>
      <c r="D12" s="25"/>
      <c r="E12" s="441" t="s">
        <v>254</v>
      </c>
      <c r="F12" s="392">
        <f>'Presupuesto financiero'!E15</f>
        <v>31080950.586450003</v>
      </c>
      <c r="G12" s="392">
        <f>'Presupuesto financiero'!F15</f>
        <v>39922402.094400004</v>
      </c>
      <c r="H12" s="392">
        <f>'Presupuesto financiero'!G15</f>
        <v>65028176.810399979</v>
      </c>
      <c r="I12" s="25"/>
      <c r="J12" s="25"/>
      <c r="K12" s="945"/>
      <c r="L12" s="390"/>
    </row>
    <row r="13" spans="2:12" ht="41.25" customHeight="1" thickBot="1" x14ac:dyDescent="0.35">
      <c r="B13" s="389"/>
      <c r="C13" s="25"/>
      <c r="D13" s="25"/>
      <c r="E13" s="25"/>
      <c r="F13" s="25"/>
      <c r="G13" s="25"/>
      <c r="H13" s="25"/>
      <c r="I13" s="25"/>
      <c r="J13" s="25"/>
      <c r="K13" s="946"/>
      <c r="L13" s="390"/>
    </row>
    <row r="14" spans="2:12" ht="15" thickBot="1" x14ac:dyDescent="0.35">
      <c r="B14" s="389"/>
      <c r="C14" s="947" t="s">
        <v>339</v>
      </c>
      <c r="D14" s="948"/>
      <c r="E14" s="25"/>
      <c r="F14" s="933" t="s">
        <v>271</v>
      </c>
      <c r="G14" s="934"/>
      <c r="H14" s="935"/>
      <c r="I14" s="25"/>
      <c r="J14" s="25"/>
      <c r="K14" s="443" t="s">
        <v>326</v>
      </c>
      <c r="L14" s="390"/>
    </row>
    <row r="15" spans="2:12" x14ac:dyDescent="0.3">
      <c r="B15" s="389"/>
      <c r="C15" s="444">
        <v>2022</v>
      </c>
      <c r="D15" s="444">
        <v>2023</v>
      </c>
      <c r="E15" s="25"/>
      <c r="F15" s="444">
        <f>Amortización!H5</f>
        <v>2021</v>
      </c>
      <c r="G15" s="444">
        <f>Amortización!I5</f>
        <v>2022</v>
      </c>
      <c r="H15" s="444">
        <f>Amortización!J5</f>
        <v>2023</v>
      </c>
      <c r="I15" s="25"/>
      <c r="J15" s="25"/>
      <c r="K15" s="944" t="str">
        <f>'Matriz de riesgo'!E6</f>
        <v>Caen las ventas un 15% en 2022 y 2023.</v>
      </c>
      <c r="L15" s="390"/>
    </row>
    <row r="16" spans="2:12" ht="15" thickBot="1" x14ac:dyDescent="0.35">
      <c r="B16" s="389"/>
      <c r="C16" s="452">
        <v>0.85</v>
      </c>
      <c r="D16" s="452">
        <v>0.85</v>
      </c>
      <c r="E16" s="393"/>
      <c r="F16" s="392">
        <f>Amortización!H6</f>
        <v>629915</v>
      </c>
      <c r="G16" s="392">
        <f>Amortización!I6</f>
        <v>1676002.3</v>
      </c>
      <c r="H16" s="392">
        <f>Amortización!J6</f>
        <v>6445974.5999999996</v>
      </c>
      <c r="I16" s="25"/>
      <c r="J16" s="25"/>
      <c r="K16" s="946"/>
      <c r="L16" s="390"/>
    </row>
    <row r="17" spans="2:12" x14ac:dyDescent="0.3">
      <c r="B17" s="389"/>
      <c r="C17" s="25"/>
      <c r="D17" s="25"/>
      <c r="E17" s="393"/>
      <c r="F17" s="394"/>
      <c r="G17" s="394"/>
      <c r="H17" s="394"/>
      <c r="I17" s="25"/>
      <c r="J17" s="25"/>
      <c r="K17" s="25"/>
      <c r="L17" s="390"/>
    </row>
    <row r="18" spans="2:12" x14ac:dyDescent="0.3">
      <c r="B18" s="389"/>
      <c r="C18" s="25"/>
      <c r="D18" s="25"/>
      <c r="E18" s="933" t="s">
        <v>261</v>
      </c>
      <c r="F18" s="934"/>
      <c r="G18" s="934"/>
      <c r="H18" s="935"/>
      <c r="I18" s="25"/>
      <c r="J18" s="25"/>
      <c r="K18" s="25"/>
      <c r="L18" s="390"/>
    </row>
    <row r="19" spans="2:12" x14ac:dyDescent="0.3">
      <c r="B19" s="389"/>
      <c r="C19" s="25"/>
      <c r="D19" s="25"/>
      <c r="E19" s="445" t="str">
        <f>'Modelo de inversión'!H4</f>
        <v>Inversión inicial</v>
      </c>
      <c r="F19" s="445">
        <f>'Modelo de inversión'!I4</f>
        <v>2021</v>
      </c>
      <c r="G19" s="445">
        <f>'Modelo de inversión'!J4</f>
        <v>2022</v>
      </c>
      <c r="H19" s="445">
        <f>'Modelo de inversión'!K4</f>
        <v>2023</v>
      </c>
      <c r="I19" s="25"/>
      <c r="J19" s="25"/>
      <c r="K19" s="25"/>
      <c r="L19" s="390"/>
    </row>
    <row r="20" spans="2:12" x14ac:dyDescent="0.3">
      <c r="B20" s="389"/>
      <c r="C20" s="25"/>
      <c r="D20" s="25"/>
      <c r="E20" s="392">
        <f>'Modelo de inversión'!H5</f>
        <v>8491000</v>
      </c>
      <c r="F20" s="392">
        <f>'Modelo de inversión'!I5</f>
        <v>10440873</v>
      </c>
      <c r="G20" s="392">
        <f>'Modelo de inversión'!J5</f>
        <v>23910723</v>
      </c>
      <c r="H20" s="392">
        <f>'Modelo de inversión'!K5</f>
        <v>26229300</v>
      </c>
      <c r="I20" s="25"/>
      <c r="J20" s="25"/>
      <c r="K20" s="25"/>
      <c r="L20" s="390"/>
    </row>
    <row r="21" spans="2:12" x14ac:dyDescent="0.3">
      <c r="B21" s="389"/>
      <c r="C21" s="25"/>
      <c r="D21" s="25"/>
      <c r="E21" s="25"/>
      <c r="F21" s="25"/>
      <c r="G21" s="25"/>
      <c r="H21" s="25"/>
      <c r="I21" s="25"/>
      <c r="J21" s="25"/>
      <c r="K21" s="25"/>
      <c r="L21" s="390"/>
    </row>
    <row r="22" spans="2:12" x14ac:dyDescent="0.3">
      <c r="B22" s="389"/>
      <c r="C22" s="25"/>
      <c r="D22" s="25"/>
      <c r="E22" s="444" t="str">
        <f>'Presupuesto financiero'!D11</f>
        <v>Año cero</v>
      </c>
      <c r="F22" s="444">
        <f>'Presupuesto financiero'!E11</f>
        <v>2021</v>
      </c>
      <c r="G22" s="444">
        <f>'Presupuesto financiero'!F11</f>
        <v>2022</v>
      </c>
      <c r="H22" s="444">
        <f>'Presupuesto financiero'!G11</f>
        <v>2023</v>
      </c>
      <c r="I22" s="25"/>
      <c r="J22" s="25"/>
      <c r="K22" s="25"/>
      <c r="L22" s="390"/>
    </row>
    <row r="23" spans="2:12" x14ac:dyDescent="0.3">
      <c r="B23" s="389"/>
      <c r="C23" s="446" t="s">
        <v>58</v>
      </c>
      <c r="D23" s="447"/>
      <c r="E23" s="395" t="s">
        <v>265</v>
      </c>
      <c r="F23" s="396">
        <f>F9</f>
        <v>72000000</v>
      </c>
      <c r="G23" s="451">
        <f>G9*$C$16</f>
        <v>122400000</v>
      </c>
      <c r="H23" s="451">
        <f>H9*$D$16</f>
        <v>204000000</v>
      </c>
      <c r="I23" s="25"/>
      <c r="J23" s="25"/>
      <c r="K23" s="25"/>
      <c r="L23" s="390"/>
    </row>
    <row r="24" spans="2:12" x14ac:dyDescent="0.3">
      <c r="B24" s="389"/>
      <c r="C24" s="936" t="s">
        <v>279</v>
      </c>
      <c r="D24" s="441" t="s">
        <v>340</v>
      </c>
      <c r="E24" s="395" t="s">
        <v>265</v>
      </c>
      <c r="F24" s="396">
        <f>F10</f>
        <v>7891200</v>
      </c>
      <c r="G24" s="396">
        <f t="shared" ref="G24:H26" si="0">G10</f>
        <v>11972400</v>
      </c>
      <c r="H24" s="396">
        <f t="shared" si="0"/>
        <v>18914400</v>
      </c>
      <c r="I24" s="25"/>
      <c r="J24" s="25"/>
      <c r="K24" s="25"/>
      <c r="L24" s="390"/>
    </row>
    <row r="25" spans="2:12" x14ac:dyDescent="0.3">
      <c r="B25" s="389"/>
      <c r="C25" s="937"/>
      <c r="D25" s="441" t="s">
        <v>341</v>
      </c>
      <c r="E25" s="395" t="s">
        <v>265</v>
      </c>
      <c r="F25" s="396">
        <f>F11</f>
        <v>9615240</v>
      </c>
      <c r="G25" s="451">
        <f>G11*$C$16</f>
        <v>15413662</v>
      </c>
      <c r="H25" s="451">
        <f>H11*$D$16</f>
        <v>23305045</v>
      </c>
      <c r="I25" s="25"/>
      <c r="J25" s="25"/>
      <c r="K25" s="25"/>
      <c r="L25" s="390"/>
    </row>
    <row r="26" spans="2:12" x14ac:dyDescent="0.3">
      <c r="B26" s="389"/>
      <c r="C26" s="938"/>
      <c r="D26" s="441" t="s">
        <v>342</v>
      </c>
      <c r="E26" s="395" t="s">
        <v>265</v>
      </c>
      <c r="F26" s="396">
        <f>F12</f>
        <v>31080950.586450003</v>
      </c>
      <c r="G26" s="396">
        <f t="shared" si="0"/>
        <v>39922402.094400004</v>
      </c>
      <c r="H26" s="396">
        <f t="shared" si="0"/>
        <v>65028176.810399979</v>
      </c>
      <c r="I26" s="25"/>
      <c r="J26" s="25"/>
      <c r="K26" s="25"/>
      <c r="L26" s="390"/>
    </row>
    <row r="27" spans="2:12" x14ac:dyDescent="0.3">
      <c r="B27" s="389"/>
      <c r="C27" s="397" t="s">
        <v>280</v>
      </c>
      <c r="D27" s="398"/>
      <c r="E27" s="375" t="s">
        <v>265</v>
      </c>
      <c r="F27" s="399">
        <f>F23-F24-F25-F26</f>
        <v>23412609.413549997</v>
      </c>
      <c r="G27" s="399">
        <f t="shared" ref="G27:H27" si="1">G23-G24-G25-G26</f>
        <v>55091535.905599996</v>
      </c>
      <c r="H27" s="399">
        <f t="shared" si="1"/>
        <v>96752378.189600021</v>
      </c>
      <c r="I27" s="25"/>
      <c r="J27" s="25"/>
      <c r="K27" s="25"/>
      <c r="L27" s="390"/>
    </row>
    <row r="28" spans="2:12" x14ac:dyDescent="0.3">
      <c r="B28" s="389"/>
      <c r="C28" s="448" t="s">
        <v>281</v>
      </c>
      <c r="D28" s="449"/>
      <c r="E28" s="148" t="s">
        <v>265</v>
      </c>
      <c r="F28" s="396">
        <f>F23*0.03</f>
        <v>2160000</v>
      </c>
      <c r="G28" s="396">
        <f t="shared" ref="G28:H28" si="2">G23*0.03</f>
        <v>3672000</v>
      </c>
      <c r="H28" s="396">
        <f t="shared" si="2"/>
        <v>6120000</v>
      </c>
      <c r="I28" s="25"/>
      <c r="J28" s="25"/>
      <c r="K28" s="25"/>
      <c r="L28" s="390"/>
    </row>
    <row r="29" spans="2:12" x14ac:dyDescent="0.3">
      <c r="B29" s="389"/>
      <c r="C29" s="448" t="s">
        <v>283</v>
      </c>
      <c r="D29" s="449"/>
      <c r="E29" s="148" t="s">
        <v>265</v>
      </c>
      <c r="F29" s="396">
        <v>0</v>
      </c>
      <c r="G29" s="396">
        <f>0.35*F34</f>
        <v>7438413.2947424985</v>
      </c>
      <c r="H29" s="396">
        <f>0.35*G34</f>
        <v>17410236.76196</v>
      </c>
      <c r="I29" s="25"/>
      <c r="J29" s="25"/>
      <c r="K29" s="25"/>
      <c r="L29" s="390"/>
    </row>
    <row r="30" spans="2:12" x14ac:dyDescent="0.3">
      <c r="B30" s="389"/>
      <c r="C30" s="397" t="s">
        <v>284</v>
      </c>
      <c r="D30" s="398"/>
      <c r="E30" s="375" t="s">
        <v>265</v>
      </c>
      <c r="F30" s="399">
        <f>F27-F28-F29</f>
        <v>21252609.413549997</v>
      </c>
      <c r="G30" s="399">
        <f>G27-G28-G29</f>
        <v>43981122.610857502</v>
      </c>
      <c r="H30" s="399">
        <f>H27-H28-H29</f>
        <v>73222141.427640021</v>
      </c>
      <c r="I30" s="25"/>
      <c r="J30" s="25"/>
      <c r="K30" s="25"/>
      <c r="L30" s="390"/>
    </row>
    <row r="31" spans="2:12" x14ac:dyDescent="0.3">
      <c r="B31" s="389"/>
      <c r="C31" s="448" t="s">
        <v>285</v>
      </c>
      <c r="D31" s="449"/>
      <c r="E31" s="396">
        <f>-E20</f>
        <v>-8491000</v>
      </c>
      <c r="F31" s="396">
        <f t="shared" ref="F31:H31" si="3">-F20</f>
        <v>-10440873</v>
      </c>
      <c r="G31" s="396">
        <f t="shared" si="3"/>
        <v>-23910723</v>
      </c>
      <c r="H31" s="396">
        <f t="shared" si="3"/>
        <v>-26229300</v>
      </c>
      <c r="I31" s="25"/>
      <c r="J31" s="25"/>
      <c r="K31" s="25"/>
      <c r="L31" s="390"/>
    </row>
    <row r="32" spans="2:12" x14ac:dyDescent="0.3">
      <c r="B32" s="389"/>
      <c r="C32" s="397" t="s">
        <v>286</v>
      </c>
      <c r="D32" s="398"/>
      <c r="E32" s="399">
        <f>E31</f>
        <v>-8491000</v>
      </c>
      <c r="F32" s="399">
        <f>F30+F31</f>
        <v>10811736.413549997</v>
      </c>
      <c r="G32" s="399">
        <f t="shared" ref="G32:H32" si="4">G30+G31</f>
        <v>20070399.610857502</v>
      </c>
      <c r="H32" s="399">
        <f t="shared" si="4"/>
        <v>46992841.427640021</v>
      </c>
      <c r="I32" s="25"/>
      <c r="J32" s="25"/>
      <c r="K32" s="25"/>
      <c r="L32" s="390"/>
    </row>
    <row r="33" spans="2:12" x14ac:dyDescent="0.3">
      <c r="B33" s="389"/>
      <c r="C33" s="25"/>
      <c r="D33" s="25"/>
      <c r="E33" s="524"/>
      <c r="F33" s="524"/>
      <c r="G33" s="524"/>
      <c r="H33" s="524"/>
      <c r="I33" s="25"/>
      <c r="J33" s="25"/>
      <c r="K33" s="25"/>
      <c r="L33" s="390"/>
    </row>
    <row r="34" spans="2:12" x14ac:dyDescent="0.3">
      <c r="B34" s="389"/>
      <c r="C34" s="939" t="s">
        <v>282</v>
      </c>
      <c r="D34" s="940"/>
      <c r="E34" s="416"/>
      <c r="F34" s="450">
        <f>F27-F28</f>
        <v>21252609.413549997</v>
      </c>
      <c r="G34" s="450">
        <f>G27-G28-G16</f>
        <v>49743533.605599999</v>
      </c>
      <c r="H34" s="450">
        <f>H27-H28-H16</f>
        <v>84186403.589600027</v>
      </c>
      <c r="I34" s="25"/>
      <c r="J34" s="25"/>
      <c r="K34" s="25"/>
      <c r="L34" s="390"/>
    </row>
    <row r="35" spans="2:12" x14ac:dyDescent="0.3">
      <c r="B35" s="389"/>
      <c r="C35" s="25"/>
      <c r="D35" s="25"/>
      <c r="E35" s="25"/>
      <c r="F35" s="25"/>
      <c r="G35" s="25"/>
      <c r="H35" s="25"/>
      <c r="I35" s="25"/>
      <c r="J35" s="25"/>
      <c r="K35" s="25"/>
      <c r="L35" s="390"/>
    </row>
    <row r="36" spans="2:12" x14ac:dyDescent="0.3">
      <c r="B36" s="389"/>
      <c r="C36" s="25"/>
      <c r="D36" s="25"/>
      <c r="E36" s="25"/>
      <c r="F36" s="25"/>
      <c r="G36" s="453" t="s">
        <v>287</v>
      </c>
      <c r="H36" s="400">
        <v>0.84</v>
      </c>
      <c r="I36" s="25"/>
      <c r="J36" s="25"/>
      <c r="K36" s="25"/>
      <c r="L36" s="390"/>
    </row>
    <row r="37" spans="2:12" x14ac:dyDescent="0.3">
      <c r="B37" s="389"/>
      <c r="C37" s="25"/>
      <c r="D37" s="25"/>
      <c r="E37" s="25"/>
      <c r="F37" s="25"/>
      <c r="G37" s="453" t="s">
        <v>288</v>
      </c>
      <c r="H37" s="401">
        <f>+NPV(H36,E32:H32)</f>
        <v>5900381.9155108603</v>
      </c>
      <c r="I37" s="25"/>
      <c r="J37" s="25"/>
      <c r="K37" s="25"/>
      <c r="L37" s="390"/>
    </row>
    <row r="38" spans="2:12" x14ac:dyDescent="0.3">
      <c r="B38" s="389"/>
      <c r="C38" s="25"/>
      <c r="D38" s="25"/>
      <c r="E38" s="25"/>
      <c r="F38" s="25"/>
      <c r="G38" s="453" t="s">
        <v>289</v>
      </c>
      <c r="H38" s="402">
        <f>+IRR(E32:H32,H36)</f>
        <v>1.8130090989289047</v>
      </c>
      <c r="I38" s="25"/>
      <c r="J38" s="25"/>
      <c r="K38" s="25"/>
      <c r="L38" s="390"/>
    </row>
    <row r="39" spans="2:12" ht="15" thickBot="1" x14ac:dyDescent="0.35">
      <c r="B39" s="403"/>
      <c r="C39" s="404"/>
      <c r="D39" s="404"/>
      <c r="E39" s="404"/>
      <c r="F39" s="404"/>
      <c r="G39" s="404"/>
      <c r="H39" s="404"/>
      <c r="I39" s="404"/>
      <c r="J39" s="404"/>
      <c r="K39" s="404"/>
      <c r="L39" s="405"/>
    </row>
  </sheetData>
  <mergeCells count="11">
    <mergeCell ref="D1:K1"/>
    <mergeCell ref="F14:H14"/>
    <mergeCell ref="E18:H18"/>
    <mergeCell ref="C24:C26"/>
    <mergeCell ref="C34:D34"/>
    <mergeCell ref="C4:K4"/>
    <mergeCell ref="K7:K9"/>
    <mergeCell ref="K11:K13"/>
    <mergeCell ref="C14:D14"/>
    <mergeCell ref="K15:K16"/>
    <mergeCell ref="F6:H6"/>
  </mergeCells>
  <pageMargins left="0.7" right="0.7" top="0.75" bottom="0.75" header="0.3" footer="0.3"/>
  <drawing r:id="rId1"/>
  <legacyDrawing r:id="rId2"/>
  <controls>
    <mc:AlternateContent xmlns:mc="http://schemas.openxmlformats.org/markup-compatibility/2006">
      <mc:Choice Requires="x14">
        <control shapeId="18433" r:id="rId3" name="btnIndice">
          <controlPr defaultSize="0" autoLine="0" r:id="rId4">
            <anchor moveWithCells="1">
              <from>
                <xdr:col>2</xdr:col>
                <xdr:colOff>7620</xdr:colOff>
                <xdr:row>0</xdr:row>
                <xdr:rowOff>83820</xdr:rowOff>
              </from>
              <to>
                <xdr:col>3</xdr:col>
                <xdr:colOff>7620</xdr:colOff>
                <xdr:row>0</xdr:row>
                <xdr:rowOff>381000</xdr:rowOff>
              </to>
            </anchor>
          </controlPr>
        </control>
      </mc:Choice>
      <mc:Fallback>
        <control shapeId="18433" r:id="rId3" name="btnIndice"/>
      </mc:Fallback>
    </mc:AlternateContent>
    <mc:AlternateContent xmlns:mc="http://schemas.openxmlformats.org/markup-compatibility/2006">
      <mc:Choice Requires="x14">
        <control shapeId="18434" r:id="rId5" name="btnAnterior">
          <controlPr defaultSize="0" autoLine="0" r:id="rId6">
            <anchor moveWithCells="1">
              <from>
                <xdr:col>9</xdr:col>
                <xdr:colOff>129540</xdr:colOff>
                <xdr:row>0</xdr:row>
                <xdr:rowOff>99060</xdr:rowOff>
              </from>
              <to>
                <xdr:col>10</xdr:col>
                <xdr:colOff>1005840</xdr:colOff>
                <xdr:row>0</xdr:row>
                <xdr:rowOff>396240</xdr:rowOff>
              </to>
            </anchor>
          </controlPr>
        </control>
      </mc:Choice>
      <mc:Fallback>
        <control shapeId="18434" r:id="rId5" name="btnAnterior"/>
      </mc:Fallback>
    </mc:AlternateContent>
    <mc:AlternateContent xmlns:mc="http://schemas.openxmlformats.org/markup-compatibility/2006">
      <mc:Choice Requires="x14">
        <control shapeId="18435" r:id="rId7" name="btnSiguiente">
          <controlPr defaultSize="0" autoLine="0" r:id="rId8">
            <anchor moveWithCells="1">
              <from>
                <xdr:col>10</xdr:col>
                <xdr:colOff>914400</xdr:colOff>
                <xdr:row>0</xdr:row>
                <xdr:rowOff>91440</xdr:rowOff>
              </from>
              <to>
                <xdr:col>10</xdr:col>
                <xdr:colOff>2583180</xdr:colOff>
                <xdr:row>0</xdr:row>
                <xdr:rowOff>388620</xdr:rowOff>
              </to>
            </anchor>
          </controlPr>
        </control>
      </mc:Choice>
      <mc:Fallback>
        <control shapeId="18435" r:id="rId7" name="btnSiguiente"/>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B1:L39"/>
  <sheetViews>
    <sheetView showGridLines="0" workbookViewId="0">
      <pane ySplit="1" topLeftCell="A26" activePane="bottomLeft" state="frozen"/>
      <selection pane="bottomLeft" activeCell="F36" sqref="F36"/>
    </sheetView>
  </sheetViews>
  <sheetFormatPr baseColWidth="10" defaultRowHeight="14.4" x14ac:dyDescent="0.3"/>
  <cols>
    <col min="4" max="4" width="24.33203125" customWidth="1"/>
    <col min="5" max="5" width="20.5546875" customWidth="1"/>
    <col min="6" max="6" width="21.44140625" customWidth="1"/>
    <col min="7" max="7" width="18.44140625" customWidth="1"/>
    <col min="8" max="8" width="16" customWidth="1"/>
    <col min="10" max="10" width="9.44140625" customWidth="1"/>
    <col min="11" max="11" width="42.88671875" customWidth="1"/>
  </cols>
  <sheetData>
    <row r="1" spans="2:12" s="442" customFormat="1" ht="41.25" customHeight="1" thickBot="1" x14ac:dyDescent="0.35">
      <c r="D1" s="840" t="s">
        <v>390</v>
      </c>
      <c r="E1" s="840"/>
      <c r="F1" s="840"/>
      <c r="G1" s="840"/>
      <c r="H1" s="840"/>
      <c r="I1" s="840"/>
      <c r="J1" s="840"/>
      <c r="K1" s="840"/>
    </row>
    <row r="2" spans="2:12" ht="15.6" thickTop="1" thickBot="1" x14ac:dyDescent="0.35"/>
    <row r="3" spans="2:12" ht="15" thickBot="1" x14ac:dyDescent="0.35">
      <c r="B3" s="386"/>
      <c r="C3" s="387"/>
      <c r="D3" s="387"/>
      <c r="E3" s="387"/>
      <c r="F3" s="387"/>
      <c r="G3" s="387"/>
      <c r="H3" s="387"/>
      <c r="I3" s="387"/>
      <c r="J3" s="387"/>
      <c r="K3" s="387"/>
      <c r="L3" s="388"/>
    </row>
    <row r="4" spans="2:12" ht="15" thickBot="1" x14ac:dyDescent="0.35">
      <c r="B4" s="389"/>
      <c r="C4" s="941" t="s">
        <v>343</v>
      </c>
      <c r="D4" s="942"/>
      <c r="E4" s="942"/>
      <c r="F4" s="942"/>
      <c r="G4" s="942"/>
      <c r="H4" s="942"/>
      <c r="I4" s="942"/>
      <c r="J4" s="942"/>
      <c r="K4" s="943"/>
      <c r="L4" s="390"/>
    </row>
    <row r="5" spans="2:12" ht="15" thickBot="1" x14ac:dyDescent="0.35">
      <c r="B5" s="389"/>
      <c r="C5" s="25"/>
      <c r="D5" s="25"/>
      <c r="E5" s="25"/>
      <c r="F5" s="25"/>
      <c r="G5" s="25"/>
      <c r="H5" s="25"/>
      <c r="I5" s="25"/>
      <c r="J5" s="25"/>
      <c r="K5" s="25"/>
      <c r="L5" s="390"/>
    </row>
    <row r="6" spans="2:12" ht="15.75" customHeight="1" thickBot="1" x14ac:dyDescent="0.35">
      <c r="B6" s="389"/>
      <c r="C6" s="25"/>
      <c r="D6" s="25"/>
      <c r="E6" s="25"/>
      <c r="F6" s="949" t="s">
        <v>337</v>
      </c>
      <c r="G6" s="950"/>
      <c r="H6" s="951"/>
      <c r="I6" s="25"/>
      <c r="J6" s="25"/>
      <c r="K6" s="443" t="s">
        <v>391</v>
      </c>
      <c r="L6" s="390"/>
    </row>
    <row r="7" spans="2:12" ht="15" customHeight="1" x14ac:dyDescent="0.3">
      <c r="B7" s="389"/>
      <c r="C7" s="25"/>
      <c r="D7" s="25"/>
      <c r="E7" s="25"/>
      <c r="F7" s="445">
        <f>Hipótesis!B23</f>
        <v>2022</v>
      </c>
      <c r="G7" s="445">
        <f>Hipótesis!B24</f>
        <v>2023</v>
      </c>
      <c r="H7" s="445">
        <f>Hipótesis!B25</f>
        <v>2024</v>
      </c>
      <c r="I7" s="25"/>
      <c r="J7" s="25"/>
      <c r="K7" s="944" t="str">
        <f>'Matriz de riesgo'!C11</f>
        <v>Pago de juicio por indemnización a operario en accidente laboral no cubierto por ART.</v>
      </c>
      <c r="L7" s="390"/>
    </row>
    <row r="8" spans="2:12" x14ac:dyDescent="0.3">
      <c r="B8" s="389"/>
      <c r="C8" s="25"/>
      <c r="D8" s="25"/>
      <c r="E8" s="25"/>
      <c r="F8" s="391">
        <f>Hipótesis!C23</f>
        <v>0.03</v>
      </c>
      <c r="G8" s="391">
        <f>Hipótesis!C24</f>
        <v>0.06</v>
      </c>
      <c r="H8" s="391">
        <f>Hipótesis!C25</f>
        <v>0.1</v>
      </c>
      <c r="I8" s="25"/>
      <c r="J8" s="25"/>
      <c r="K8" s="945"/>
      <c r="L8" s="390"/>
    </row>
    <row r="9" spans="2:12" ht="15" thickBot="1" x14ac:dyDescent="0.35">
      <c r="B9" s="389"/>
      <c r="C9" s="25"/>
      <c r="D9" s="25"/>
      <c r="E9" s="441" t="s">
        <v>338</v>
      </c>
      <c r="F9" s="349">
        <f>Hipótesis!D23</f>
        <v>72000000</v>
      </c>
      <c r="G9" s="349">
        <f>Hipótesis!D24</f>
        <v>144000000</v>
      </c>
      <c r="H9" s="349">
        <f>Hipótesis!D25</f>
        <v>240000000</v>
      </c>
      <c r="I9" s="25"/>
      <c r="J9" s="25"/>
      <c r="K9" s="946"/>
      <c r="L9" s="390"/>
    </row>
    <row r="10" spans="2:12" ht="15" thickBot="1" x14ac:dyDescent="0.35">
      <c r="B10" s="389"/>
      <c r="C10" s="25"/>
      <c r="D10" s="25"/>
      <c r="E10" s="441" t="s">
        <v>255</v>
      </c>
      <c r="F10" s="392">
        <f>'Presupuesto financiero'!E13</f>
        <v>7891200</v>
      </c>
      <c r="G10" s="392">
        <f>'Presupuesto financiero'!F13</f>
        <v>11972400</v>
      </c>
      <c r="H10" s="392">
        <f>'Presupuesto financiero'!G13</f>
        <v>18914400</v>
      </c>
      <c r="I10" s="25"/>
      <c r="J10" s="25"/>
      <c r="K10" s="443" t="s">
        <v>325</v>
      </c>
      <c r="L10" s="390"/>
    </row>
    <row r="11" spans="2:12" ht="15" customHeight="1" x14ac:dyDescent="0.3">
      <c r="B11" s="389"/>
      <c r="C11" s="25"/>
      <c r="D11" s="25"/>
      <c r="E11" s="441" t="s">
        <v>257</v>
      </c>
      <c r="F11" s="392">
        <f>'Presupuesto financiero'!E14</f>
        <v>9615240</v>
      </c>
      <c r="G11" s="392">
        <f>'Presupuesto financiero'!F14</f>
        <v>18133720</v>
      </c>
      <c r="H11" s="392">
        <f>'Presupuesto financiero'!G14</f>
        <v>27417700</v>
      </c>
      <c r="I11" s="25"/>
      <c r="J11" s="25"/>
      <c r="K11" s="944" t="str">
        <f>'Matriz de riesgo'!D11</f>
        <v>Un operario tiene un accidente con alguna de las maquinas pertenecientes a la planta. El accidente debido a no estar cubierto por la ART se transfiere a la empresa.</v>
      </c>
      <c r="L11" s="390"/>
    </row>
    <row r="12" spans="2:12" x14ac:dyDescent="0.3">
      <c r="B12" s="389"/>
      <c r="C12" s="25"/>
      <c r="D12" s="25"/>
      <c r="E12" s="441" t="s">
        <v>254</v>
      </c>
      <c r="F12" s="392">
        <f>'Presupuesto financiero'!E15</f>
        <v>31080950.586450003</v>
      </c>
      <c r="G12" s="392">
        <f>'Presupuesto financiero'!F15</f>
        <v>39922402.094400004</v>
      </c>
      <c r="H12" s="392">
        <f>'Presupuesto financiero'!G15</f>
        <v>65028176.810399979</v>
      </c>
      <c r="I12" s="25"/>
      <c r="J12" s="25"/>
      <c r="K12" s="945"/>
      <c r="L12" s="390"/>
    </row>
    <row r="13" spans="2:12" ht="36.75" customHeight="1" thickBot="1" x14ac:dyDescent="0.35">
      <c r="B13" s="389"/>
      <c r="C13" s="25"/>
      <c r="D13" s="25"/>
      <c r="E13" s="25"/>
      <c r="F13" s="25"/>
      <c r="G13" s="25"/>
      <c r="H13" s="25"/>
      <c r="I13" s="25"/>
      <c r="J13" s="25"/>
      <c r="K13" s="946"/>
      <c r="L13" s="390"/>
    </row>
    <row r="14" spans="2:12" ht="15" thickBot="1" x14ac:dyDescent="0.35">
      <c r="B14" s="389"/>
      <c r="C14" s="947" t="s">
        <v>392</v>
      </c>
      <c r="D14" s="948"/>
      <c r="E14" s="25"/>
      <c r="F14" s="933" t="s">
        <v>271</v>
      </c>
      <c r="G14" s="934"/>
      <c r="H14" s="935"/>
      <c r="I14" s="25"/>
      <c r="J14" s="25"/>
      <c r="K14" s="443" t="s">
        <v>326</v>
      </c>
      <c r="L14" s="390"/>
    </row>
    <row r="15" spans="2:12" x14ac:dyDescent="0.3">
      <c r="B15" s="389"/>
      <c r="C15" s="952">
        <v>2023</v>
      </c>
      <c r="D15" s="953"/>
      <c r="E15" s="25"/>
      <c r="F15" s="444">
        <f>Amortización!H5</f>
        <v>2021</v>
      </c>
      <c r="G15" s="444">
        <f>Amortización!I5</f>
        <v>2022</v>
      </c>
      <c r="H15" s="444">
        <f>Amortización!J5</f>
        <v>2023</v>
      </c>
      <c r="I15" s="25"/>
      <c r="J15" s="25"/>
      <c r="K15" s="944" t="str">
        <f>'Matriz de riesgo'!E11</f>
        <v>Pago de indeminización por $5.000.000 más $500.000 por costas legales.</v>
      </c>
      <c r="L15" s="390"/>
    </row>
    <row r="16" spans="2:12" ht="15" thickBot="1" x14ac:dyDescent="0.35">
      <c r="B16" s="389"/>
      <c r="C16" s="954">
        <v>5500000</v>
      </c>
      <c r="D16" s="955"/>
      <c r="E16" s="393"/>
      <c r="F16" s="392">
        <f>Amortización!H6</f>
        <v>629915</v>
      </c>
      <c r="G16" s="392">
        <f>Amortización!I6</f>
        <v>1676002.3</v>
      </c>
      <c r="H16" s="392">
        <f>Amortización!J6</f>
        <v>6445974.5999999996</v>
      </c>
      <c r="I16" s="25"/>
      <c r="J16" s="25"/>
      <c r="K16" s="946"/>
      <c r="L16" s="390"/>
    </row>
    <row r="17" spans="2:12" x14ac:dyDescent="0.3">
      <c r="B17" s="389"/>
      <c r="C17" s="25"/>
      <c r="D17" s="25"/>
      <c r="E17" s="393"/>
      <c r="F17" s="394"/>
      <c r="G17" s="394"/>
      <c r="H17" s="394"/>
      <c r="I17" s="25"/>
      <c r="J17" s="25"/>
      <c r="K17" s="25"/>
      <c r="L17" s="390"/>
    </row>
    <row r="18" spans="2:12" x14ac:dyDescent="0.3">
      <c r="B18" s="389"/>
      <c r="C18" s="25"/>
      <c r="D18" s="25"/>
      <c r="E18" s="933" t="s">
        <v>261</v>
      </c>
      <c r="F18" s="934"/>
      <c r="G18" s="934"/>
      <c r="H18" s="935"/>
      <c r="I18" s="25"/>
      <c r="J18" s="25"/>
      <c r="K18" s="25"/>
      <c r="L18" s="390"/>
    </row>
    <row r="19" spans="2:12" x14ac:dyDescent="0.3">
      <c r="B19" s="389"/>
      <c r="C19" s="25"/>
      <c r="D19" s="25"/>
      <c r="E19" s="445" t="str">
        <f>'Modelo de inversión'!H4</f>
        <v>Inversión inicial</v>
      </c>
      <c r="F19" s="445">
        <f>'Modelo de inversión'!I4</f>
        <v>2021</v>
      </c>
      <c r="G19" s="445">
        <f>'Modelo de inversión'!J4</f>
        <v>2022</v>
      </c>
      <c r="H19" s="445">
        <f>'Modelo de inversión'!K4</f>
        <v>2023</v>
      </c>
      <c r="I19" s="25"/>
      <c r="J19" s="25"/>
      <c r="K19" s="25"/>
      <c r="L19" s="390"/>
    </row>
    <row r="20" spans="2:12" x14ac:dyDescent="0.3">
      <c r="B20" s="389"/>
      <c r="C20" s="25"/>
      <c r="D20" s="25"/>
      <c r="E20" s="392">
        <f>'Modelo de inversión'!H5</f>
        <v>8491000</v>
      </c>
      <c r="F20" s="392">
        <f>'Modelo de inversión'!I5</f>
        <v>10440873</v>
      </c>
      <c r="G20" s="392">
        <f>'Modelo de inversión'!J5</f>
        <v>23910723</v>
      </c>
      <c r="H20" s="392">
        <f>'Modelo de inversión'!K5</f>
        <v>26229300</v>
      </c>
      <c r="I20" s="25"/>
      <c r="J20" s="25"/>
      <c r="K20" s="25"/>
      <c r="L20" s="390"/>
    </row>
    <row r="21" spans="2:12" x14ac:dyDescent="0.3">
      <c r="B21" s="389"/>
      <c r="C21" s="25"/>
      <c r="D21" s="25"/>
      <c r="E21" s="25"/>
      <c r="F21" s="25"/>
      <c r="G21" s="25"/>
      <c r="H21" s="25"/>
      <c r="I21" s="25"/>
      <c r="J21" s="25"/>
      <c r="K21" s="25"/>
      <c r="L21" s="390"/>
    </row>
    <row r="22" spans="2:12" x14ac:dyDescent="0.3">
      <c r="B22" s="389"/>
      <c r="C22" s="25"/>
      <c r="D22" s="25"/>
      <c r="E22" s="444" t="str">
        <f>'Presupuesto financiero'!D11</f>
        <v>Año cero</v>
      </c>
      <c r="F22" s="444">
        <f>'Presupuesto financiero'!E11</f>
        <v>2021</v>
      </c>
      <c r="G22" s="444">
        <f>'Presupuesto financiero'!F11</f>
        <v>2022</v>
      </c>
      <c r="H22" s="444">
        <f>'Presupuesto financiero'!G11</f>
        <v>2023</v>
      </c>
      <c r="I22" s="25"/>
      <c r="J22" s="25"/>
      <c r="K22" s="25"/>
      <c r="L22" s="390"/>
    </row>
    <row r="23" spans="2:12" x14ac:dyDescent="0.3">
      <c r="B23" s="389"/>
      <c r="C23" s="446" t="s">
        <v>58</v>
      </c>
      <c r="D23" s="447"/>
      <c r="E23" s="395" t="s">
        <v>265</v>
      </c>
      <c r="F23" s="396">
        <f>F9</f>
        <v>72000000</v>
      </c>
      <c r="G23" s="396">
        <f>G9</f>
        <v>144000000</v>
      </c>
      <c r="H23" s="396">
        <f>H9</f>
        <v>240000000</v>
      </c>
      <c r="I23" s="25"/>
      <c r="J23" s="25"/>
      <c r="K23" s="25"/>
      <c r="L23" s="390"/>
    </row>
    <row r="24" spans="2:12" x14ac:dyDescent="0.3">
      <c r="B24" s="389"/>
      <c r="C24" s="936" t="s">
        <v>279</v>
      </c>
      <c r="D24" s="441" t="s">
        <v>340</v>
      </c>
      <c r="E24" s="395" t="s">
        <v>265</v>
      </c>
      <c r="F24" s="396">
        <f>F10</f>
        <v>7891200</v>
      </c>
      <c r="G24" s="396">
        <f t="shared" ref="G24:H26" si="0">G10</f>
        <v>11972400</v>
      </c>
      <c r="H24" s="396">
        <f t="shared" si="0"/>
        <v>18914400</v>
      </c>
      <c r="I24" s="25"/>
      <c r="J24" s="25"/>
      <c r="K24" s="25"/>
      <c r="L24" s="390"/>
    </row>
    <row r="25" spans="2:12" x14ac:dyDescent="0.3">
      <c r="B25" s="389"/>
      <c r="C25" s="937"/>
      <c r="D25" s="441" t="s">
        <v>341</v>
      </c>
      <c r="E25" s="395" t="s">
        <v>265</v>
      </c>
      <c r="F25" s="396">
        <f>F11</f>
        <v>9615240</v>
      </c>
      <c r="G25" s="396">
        <f>G11</f>
        <v>18133720</v>
      </c>
      <c r="H25" s="451">
        <f>SUM(H11,C16)</f>
        <v>32917700</v>
      </c>
      <c r="I25" s="25"/>
      <c r="J25" s="25"/>
      <c r="K25" s="25"/>
      <c r="L25" s="390"/>
    </row>
    <row r="26" spans="2:12" x14ac:dyDescent="0.3">
      <c r="B26" s="389"/>
      <c r="C26" s="938"/>
      <c r="D26" s="441" t="s">
        <v>342</v>
      </c>
      <c r="E26" s="395" t="s">
        <v>265</v>
      </c>
      <c r="F26" s="396">
        <f>F12</f>
        <v>31080950.586450003</v>
      </c>
      <c r="G26" s="396">
        <f t="shared" si="0"/>
        <v>39922402.094400004</v>
      </c>
      <c r="H26" s="396">
        <f t="shared" si="0"/>
        <v>65028176.810399979</v>
      </c>
      <c r="I26" s="25"/>
      <c r="J26" s="25"/>
      <c r="K26" s="25"/>
      <c r="L26" s="390"/>
    </row>
    <row r="27" spans="2:12" x14ac:dyDescent="0.3">
      <c r="B27" s="389"/>
      <c r="C27" s="397" t="s">
        <v>280</v>
      </c>
      <c r="D27" s="398"/>
      <c r="E27" s="375" t="s">
        <v>265</v>
      </c>
      <c r="F27" s="399">
        <f>F23-F24-F25-F26</f>
        <v>23412609.413549997</v>
      </c>
      <c r="G27" s="399">
        <f t="shared" ref="G27:H27" si="1">G23-G24-G25-G26</f>
        <v>73971477.905599996</v>
      </c>
      <c r="H27" s="399">
        <f t="shared" si="1"/>
        <v>123139723.18960002</v>
      </c>
      <c r="I27" s="25"/>
      <c r="J27" s="25"/>
      <c r="K27" s="25"/>
      <c r="L27" s="390"/>
    </row>
    <row r="28" spans="2:12" x14ac:dyDescent="0.3">
      <c r="B28" s="389"/>
      <c r="C28" s="448" t="s">
        <v>281</v>
      </c>
      <c r="D28" s="449"/>
      <c r="E28" s="148" t="s">
        <v>265</v>
      </c>
      <c r="F28" s="396">
        <f>F23*0.03</f>
        <v>2160000</v>
      </c>
      <c r="G28" s="396">
        <f t="shared" ref="G28:H28" si="2">G23*0.03</f>
        <v>4320000</v>
      </c>
      <c r="H28" s="396">
        <f t="shared" si="2"/>
        <v>7200000</v>
      </c>
      <c r="I28" s="25"/>
      <c r="J28" s="25"/>
      <c r="K28" s="25"/>
      <c r="L28" s="390"/>
    </row>
    <row r="29" spans="2:12" x14ac:dyDescent="0.3">
      <c r="B29" s="389"/>
      <c r="C29" s="448" t="s">
        <v>283</v>
      </c>
      <c r="D29" s="449"/>
      <c r="E29" s="148" t="s">
        <v>265</v>
      </c>
      <c r="F29" s="396">
        <v>0</v>
      </c>
      <c r="G29" s="396">
        <f>0.35*F34</f>
        <v>7438413.2947424985</v>
      </c>
      <c r="H29" s="396">
        <f>0.35*G34</f>
        <v>23791416.461959999</v>
      </c>
      <c r="I29" s="25"/>
      <c r="J29" s="25"/>
      <c r="K29" s="25"/>
      <c r="L29" s="390"/>
    </row>
    <row r="30" spans="2:12" x14ac:dyDescent="0.3">
      <c r="B30" s="389"/>
      <c r="C30" s="397" t="s">
        <v>284</v>
      </c>
      <c r="D30" s="398"/>
      <c r="E30" s="375" t="s">
        <v>265</v>
      </c>
      <c r="F30" s="399">
        <f>F27-F28-F29</f>
        <v>21252609.413549997</v>
      </c>
      <c r="G30" s="399">
        <f>G27-G28-G29</f>
        <v>62213064.610857502</v>
      </c>
      <c r="H30" s="399">
        <f>H27-H28-H29</f>
        <v>92148306.727640018</v>
      </c>
      <c r="I30" s="25"/>
      <c r="J30" s="25"/>
      <c r="K30" s="25"/>
      <c r="L30" s="390"/>
    </row>
    <row r="31" spans="2:12" x14ac:dyDescent="0.3">
      <c r="B31" s="389"/>
      <c r="C31" s="448" t="s">
        <v>285</v>
      </c>
      <c r="D31" s="449"/>
      <c r="E31" s="396">
        <f>-E20</f>
        <v>-8491000</v>
      </c>
      <c r="F31" s="396">
        <f t="shared" ref="F31:H31" si="3">-F20</f>
        <v>-10440873</v>
      </c>
      <c r="G31" s="396">
        <f t="shared" si="3"/>
        <v>-23910723</v>
      </c>
      <c r="H31" s="396">
        <f t="shared" si="3"/>
        <v>-26229300</v>
      </c>
      <c r="I31" s="25"/>
      <c r="J31" s="25"/>
      <c r="K31" s="25"/>
      <c r="L31" s="390"/>
    </row>
    <row r="32" spans="2:12" x14ac:dyDescent="0.3">
      <c r="B32" s="389"/>
      <c r="C32" s="397" t="s">
        <v>286</v>
      </c>
      <c r="D32" s="398"/>
      <c r="E32" s="399">
        <f>E31</f>
        <v>-8491000</v>
      </c>
      <c r="F32" s="399">
        <f>F30+F31</f>
        <v>10811736.413549997</v>
      </c>
      <c r="G32" s="399">
        <f t="shared" ref="G32:H32" si="4">G30+G31</f>
        <v>38302341.610857502</v>
      </c>
      <c r="H32" s="399">
        <f t="shared" si="4"/>
        <v>65919006.727640018</v>
      </c>
      <c r="I32" s="25"/>
      <c r="J32" s="25"/>
      <c r="K32" s="25"/>
      <c r="L32" s="390"/>
    </row>
    <row r="33" spans="2:12" x14ac:dyDescent="0.3">
      <c r="B33" s="389"/>
      <c r="C33" s="25"/>
      <c r="D33" s="25"/>
      <c r="E33" s="524"/>
      <c r="F33" s="524"/>
      <c r="G33" s="524"/>
      <c r="H33" s="524"/>
      <c r="I33" s="25"/>
      <c r="J33" s="25"/>
      <c r="K33" s="25"/>
      <c r="L33" s="390"/>
    </row>
    <row r="34" spans="2:12" x14ac:dyDescent="0.3">
      <c r="B34" s="389"/>
      <c r="C34" s="939" t="s">
        <v>282</v>
      </c>
      <c r="D34" s="940"/>
      <c r="E34" s="416"/>
      <c r="F34" s="450">
        <f>F27-F28</f>
        <v>21252609.413549997</v>
      </c>
      <c r="G34" s="450">
        <f>G27-G28-G16</f>
        <v>67975475.605599999</v>
      </c>
      <c r="H34" s="450">
        <f>H27-H28-H16</f>
        <v>109493748.58960003</v>
      </c>
      <c r="I34" s="25"/>
      <c r="J34" s="25"/>
      <c r="K34" s="25"/>
      <c r="L34" s="390"/>
    </row>
    <row r="35" spans="2:12" x14ac:dyDescent="0.3">
      <c r="B35" s="389"/>
      <c r="C35" s="25"/>
      <c r="D35" s="25"/>
      <c r="E35" s="25"/>
      <c r="F35" s="25"/>
      <c r="G35" s="25"/>
      <c r="H35" s="25"/>
      <c r="I35" s="25"/>
      <c r="J35" s="25"/>
      <c r="K35" s="25"/>
      <c r="L35" s="390"/>
    </row>
    <row r="36" spans="2:12" x14ac:dyDescent="0.3">
      <c r="B36" s="389"/>
      <c r="C36" s="25"/>
      <c r="D36" s="25"/>
      <c r="E36" s="25"/>
      <c r="F36" s="25"/>
      <c r="G36" s="453" t="s">
        <v>287</v>
      </c>
      <c r="H36" s="400">
        <v>0.84</v>
      </c>
      <c r="I36" s="25"/>
      <c r="J36" s="25"/>
      <c r="K36" s="25"/>
      <c r="L36" s="390"/>
    </row>
    <row r="37" spans="2:12" x14ac:dyDescent="0.3">
      <c r="B37" s="389"/>
      <c r="C37" s="25"/>
      <c r="D37" s="25"/>
      <c r="E37" s="25"/>
      <c r="F37" s="25"/>
      <c r="G37" s="453" t="s">
        <v>288</v>
      </c>
      <c r="H37" s="401">
        <f>+NPV(H36,E32:H32)</f>
        <v>10478258.645692578</v>
      </c>
      <c r="I37" s="25"/>
      <c r="J37" s="25"/>
      <c r="K37" s="25"/>
      <c r="L37" s="390"/>
    </row>
    <row r="38" spans="2:12" x14ac:dyDescent="0.3">
      <c r="B38" s="389"/>
      <c r="C38" s="25"/>
      <c r="D38" s="25"/>
      <c r="E38" s="25"/>
      <c r="F38" s="25"/>
      <c r="G38" s="453" t="s">
        <v>289</v>
      </c>
      <c r="H38" s="402">
        <f>+IRR(E32:H32,H36)</f>
        <v>2.3289370551258064</v>
      </c>
      <c r="I38" s="25"/>
      <c r="J38" s="25"/>
      <c r="K38" s="25"/>
      <c r="L38" s="390"/>
    </row>
    <row r="39" spans="2:12" ht="15" thickBot="1" x14ac:dyDescent="0.35">
      <c r="B39" s="403"/>
      <c r="C39" s="404"/>
      <c r="D39" s="404"/>
      <c r="E39" s="404"/>
      <c r="F39" s="404"/>
      <c r="G39" s="404"/>
      <c r="H39" s="404"/>
      <c r="I39" s="404"/>
      <c r="J39" s="404"/>
      <c r="K39" s="404"/>
      <c r="L39" s="405"/>
    </row>
  </sheetData>
  <mergeCells count="13">
    <mergeCell ref="D1:K1"/>
    <mergeCell ref="C24:C26"/>
    <mergeCell ref="C34:D34"/>
    <mergeCell ref="C4:K4"/>
    <mergeCell ref="F6:H6"/>
    <mergeCell ref="K7:K9"/>
    <mergeCell ref="K11:K13"/>
    <mergeCell ref="C15:D15"/>
    <mergeCell ref="C16:D16"/>
    <mergeCell ref="C14:D14"/>
    <mergeCell ref="F14:H14"/>
    <mergeCell ref="K15:K16"/>
    <mergeCell ref="E18:H18"/>
  </mergeCells>
  <pageMargins left="0.7" right="0.7" top="0.75" bottom="0.75" header="0.3" footer="0.3"/>
  <drawing r:id="rId1"/>
  <legacyDrawing r:id="rId2"/>
  <controls>
    <mc:AlternateContent xmlns:mc="http://schemas.openxmlformats.org/markup-compatibility/2006">
      <mc:Choice Requires="x14">
        <control shapeId="19458" r:id="rId3" name="btnIndice">
          <controlPr defaultSize="0" autoLine="0" r:id="rId4">
            <anchor moveWithCells="1">
              <from>
                <xdr:col>0</xdr:col>
                <xdr:colOff>594360</xdr:colOff>
                <xdr:row>0</xdr:row>
                <xdr:rowOff>76200</xdr:rowOff>
              </from>
              <to>
                <xdr:col>2</xdr:col>
                <xdr:colOff>678180</xdr:colOff>
                <xdr:row>0</xdr:row>
                <xdr:rowOff>373380</xdr:rowOff>
              </to>
            </anchor>
          </controlPr>
        </control>
      </mc:Choice>
      <mc:Fallback>
        <control shapeId="19458" r:id="rId3" name="btnIndice"/>
      </mc:Fallback>
    </mc:AlternateContent>
    <mc:AlternateContent xmlns:mc="http://schemas.openxmlformats.org/markup-compatibility/2006">
      <mc:Choice Requires="x14">
        <control shapeId="19459" r:id="rId5" name="btnAnterior">
          <controlPr defaultSize="0" autoLine="0" r:id="rId6">
            <anchor moveWithCells="1">
              <from>
                <xdr:col>8</xdr:col>
                <xdr:colOff>297180</xdr:colOff>
                <xdr:row>0</xdr:row>
                <xdr:rowOff>99060</xdr:rowOff>
              </from>
              <to>
                <xdr:col>10</xdr:col>
                <xdr:colOff>525780</xdr:colOff>
                <xdr:row>0</xdr:row>
                <xdr:rowOff>396240</xdr:rowOff>
              </to>
            </anchor>
          </controlPr>
        </control>
      </mc:Choice>
      <mc:Fallback>
        <control shapeId="19459" r:id="rId5" name="btnAnterior"/>
      </mc:Fallback>
    </mc:AlternateContent>
    <mc:AlternateContent xmlns:mc="http://schemas.openxmlformats.org/markup-compatibility/2006">
      <mc:Choice Requires="x14">
        <control shapeId="19460" r:id="rId7" name="btnSiguiente">
          <controlPr defaultSize="0" autoLine="0" r:id="rId8">
            <anchor moveWithCells="1">
              <from>
                <xdr:col>10</xdr:col>
                <xdr:colOff>594360</xdr:colOff>
                <xdr:row>0</xdr:row>
                <xdr:rowOff>99060</xdr:rowOff>
              </from>
              <to>
                <xdr:col>10</xdr:col>
                <xdr:colOff>2263140</xdr:colOff>
                <xdr:row>0</xdr:row>
                <xdr:rowOff>396240</xdr:rowOff>
              </to>
            </anchor>
          </controlPr>
        </control>
      </mc:Choice>
      <mc:Fallback>
        <control shapeId="19460" r:id="rId7" name="btnSiguiente"/>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7"/>
  <dimension ref="B1:N39"/>
  <sheetViews>
    <sheetView showGridLines="0" topLeftCell="B1" zoomScale="93" zoomScaleNormal="93" workbookViewId="0">
      <pane ySplit="1" topLeftCell="A2" activePane="bottomLeft" state="frozen"/>
      <selection pane="bottomLeft" activeCell="E38" sqref="E38"/>
    </sheetView>
  </sheetViews>
  <sheetFormatPr baseColWidth="10" defaultRowHeight="14.4" x14ac:dyDescent="0.3"/>
  <cols>
    <col min="4" max="4" width="24.44140625" customWidth="1"/>
    <col min="5" max="5" width="17.33203125" customWidth="1"/>
    <col min="6" max="6" width="16.33203125" customWidth="1"/>
    <col min="7" max="7" width="17.109375" customWidth="1"/>
    <col min="8" max="8" width="20.6640625" customWidth="1"/>
    <col min="11" max="11" width="35.88671875" customWidth="1"/>
  </cols>
  <sheetData>
    <row r="1" spans="2:14" s="442" customFormat="1" ht="48.75" customHeight="1" thickBot="1" x14ac:dyDescent="0.35">
      <c r="D1" s="840" t="s">
        <v>393</v>
      </c>
      <c r="E1" s="763"/>
      <c r="F1" s="763"/>
      <c r="G1" s="763"/>
      <c r="H1" s="763"/>
      <c r="I1" s="763"/>
      <c r="J1" s="763"/>
      <c r="K1" s="763"/>
      <c r="L1" s="456"/>
      <c r="M1" s="456"/>
      <c r="N1" s="456"/>
    </row>
    <row r="2" spans="2:14" ht="15.6" thickTop="1" thickBot="1" x14ac:dyDescent="0.35"/>
    <row r="3" spans="2:14" ht="15" thickBot="1" x14ac:dyDescent="0.35">
      <c r="B3" s="386"/>
      <c r="C3" s="387"/>
      <c r="D3" s="387"/>
      <c r="E3" s="387"/>
      <c r="F3" s="387"/>
      <c r="G3" s="387"/>
      <c r="H3" s="387"/>
      <c r="I3" s="387"/>
      <c r="J3" s="387"/>
      <c r="K3" s="387"/>
      <c r="L3" s="388"/>
    </row>
    <row r="4" spans="2:14" ht="15" thickBot="1" x14ac:dyDescent="0.35">
      <c r="B4" s="389"/>
      <c r="C4" s="941" t="s">
        <v>394</v>
      </c>
      <c r="D4" s="942"/>
      <c r="E4" s="942"/>
      <c r="F4" s="942"/>
      <c r="G4" s="942"/>
      <c r="H4" s="942"/>
      <c r="I4" s="942"/>
      <c r="J4" s="942"/>
      <c r="K4" s="943"/>
      <c r="L4" s="390"/>
    </row>
    <row r="5" spans="2:14" ht="15" thickBot="1" x14ac:dyDescent="0.35">
      <c r="B5" s="389"/>
      <c r="C5" s="25"/>
      <c r="D5" s="25"/>
      <c r="E5" s="25"/>
      <c r="F5" s="25"/>
      <c r="G5" s="25"/>
      <c r="H5" s="25"/>
      <c r="I5" s="25"/>
      <c r="J5" s="25"/>
      <c r="K5" s="25"/>
      <c r="L5" s="390"/>
    </row>
    <row r="6" spans="2:14" ht="15.75" customHeight="1" thickBot="1" x14ac:dyDescent="0.35">
      <c r="B6" s="389"/>
      <c r="C6" s="25"/>
      <c r="D6" s="25"/>
      <c r="E6" s="25"/>
      <c r="F6" s="949" t="s">
        <v>337</v>
      </c>
      <c r="G6" s="950"/>
      <c r="H6" s="951"/>
      <c r="I6" s="25"/>
      <c r="J6" s="25"/>
      <c r="K6" s="443" t="s">
        <v>395</v>
      </c>
      <c r="L6" s="390"/>
    </row>
    <row r="7" spans="2:14" ht="15" customHeight="1" x14ac:dyDescent="0.3">
      <c r="B7" s="389"/>
      <c r="C7" s="25"/>
      <c r="D7" s="25"/>
      <c r="E7" s="25"/>
      <c r="F7" s="445">
        <f>Hipótesis!B23</f>
        <v>2022</v>
      </c>
      <c r="G7" s="445">
        <f>Hipótesis!B24</f>
        <v>2023</v>
      </c>
      <c r="H7" s="445">
        <f>Hipótesis!B25</f>
        <v>2024</v>
      </c>
      <c r="I7" s="25"/>
      <c r="J7" s="25"/>
      <c r="K7" s="944" t="str">
        <f>'Matriz de riesgo'!C16</f>
        <v>Ingreso de un nuevo competidor durante el segundo año de producción.</v>
      </c>
      <c r="L7" s="390"/>
    </row>
    <row r="8" spans="2:14" x14ac:dyDescent="0.3">
      <c r="B8" s="389"/>
      <c r="C8" s="25"/>
      <c r="D8" s="25"/>
      <c r="E8" s="25"/>
      <c r="F8" s="391">
        <f>Hipótesis!C23</f>
        <v>0.03</v>
      </c>
      <c r="G8" s="391">
        <f>Hipótesis!C24</f>
        <v>0.06</v>
      </c>
      <c r="H8" s="391">
        <f>Hipótesis!C25</f>
        <v>0.1</v>
      </c>
      <c r="I8" s="25"/>
      <c r="J8" s="25"/>
      <c r="K8" s="945"/>
      <c r="L8" s="390"/>
    </row>
    <row r="9" spans="2:14" ht="15" thickBot="1" x14ac:dyDescent="0.35">
      <c r="B9" s="389"/>
      <c r="C9" s="25"/>
      <c r="D9" s="25"/>
      <c r="E9" s="441" t="s">
        <v>338</v>
      </c>
      <c r="F9" s="349">
        <f>Hipótesis!D23</f>
        <v>72000000</v>
      </c>
      <c r="G9" s="349">
        <f>Hipótesis!D24</f>
        <v>144000000</v>
      </c>
      <c r="H9" s="349">
        <f>Hipótesis!D25</f>
        <v>240000000</v>
      </c>
      <c r="I9" s="25"/>
      <c r="J9" s="25"/>
      <c r="K9" s="946"/>
      <c r="L9" s="390"/>
    </row>
    <row r="10" spans="2:14" ht="15" thickBot="1" x14ac:dyDescent="0.35">
      <c r="B10" s="389"/>
      <c r="C10" s="25"/>
      <c r="D10" s="25"/>
      <c r="E10" s="441" t="s">
        <v>255</v>
      </c>
      <c r="F10" s="392">
        <f>'Presupuesto financiero'!E13</f>
        <v>7891200</v>
      </c>
      <c r="G10" s="392">
        <f>'Presupuesto financiero'!F13</f>
        <v>11972400</v>
      </c>
      <c r="H10" s="392">
        <f>'Presupuesto financiero'!G13</f>
        <v>18914400</v>
      </c>
      <c r="I10" s="25"/>
      <c r="J10" s="25"/>
      <c r="K10" s="443" t="s">
        <v>325</v>
      </c>
      <c r="L10" s="390"/>
    </row>
    <row r="11" spans="2:14" ht="15" customHeight="1" x14ac:dyDescent="0.3">
      <c r="B11" s="389"/>
      <c r="C11" s="25"/>
      <c r="D11" s="25"/>
      <c r="E11" s="441" t="s">
        <v>257</v>
      </c>
      <c r="F11" s="392">
        <f>'Presupuesto financiero'!E14</f>
        <v>9615240</v>
      </c>
      <c r="G11" s="392">
        <f>'Presupuesto financiero'!F14</f>
        <v>18133720</v>
      </c>
      <c r="H11" s="392">
        <f>'Presupuesto financiero'!G14</f>
        <v>27417700</v>
      </c>
      <c r="I11" s="25"/>
      <c r="J11" s="25"/>
      <c r="K11" s="944" t="str">
        <f>'Matriz de riesgo'!D16</f>
        <v>Copia del modelo de producción propio por parte de la competencia.</v>
      </c>
      <c r="L11" s="390"/>
    </row>
    <row r="12" spans="2:14" x14ac:dyDescent="0.3">
      <c r="B12" s="389"/>
      <c r="C12" s="25"/>
      <c r="D12" s="25"/>
      <c r="E12" s="441" t="s">
        <v>254</v>
      </c>
      <c r="F12" s="392">
        <f>'Presupuesto financiero'!E15</f>
        <v>31080950.586450003</v>
      </c>
      <c r="G12" s="392">
        <f>'Presupuesto financiero'!F15</f>
        <v>39922402.094400004</v>
      </c>
      <c r="H12" s="392">
        <f>'Presupuesto financiero'!G15</f>
        <v>65028176.810399979</v>
      </c>
      <c r="I12" s="25"/>
      <c r="J12" s="25"/>
      <c r="K12" s="945"/>
      <c r="L12" s="390"/>
    </row>
    <row r="13" spans="2:14" ht="15" thickBot="1" x14ac:dyDescent="0.35">
      <c r="B13" s="389"/>
      <c r="C13" s="25"/>
      <c r="D13" s="25"/>
      <c r="E13" s="25"/>
      <c r="F13" s="25"/>
      <c r="G13" s="25"/>
      <c r="H13" s="25"/>
      <c r="I13" s="25"/>
      <c r="J13" s="25"/>
      <c r="K13" s="946"/>
      <c r="L13" s="390"/>
    </row>
    <row r="14" spans="2:14" ht="15" thickBot="1" x14ac:dyDescent="0.35">
      <c r="B14" s="389"/>
      <c r="C14" s="947" t="s">
        <v>339</v>
      </c>
      <c r="D14" s="948"/>
      <c r="E14" s="25"/>
      <c r="F14" s="933" t="s">
        <v>271</v>
      </c>
      <c r="G14" s="934"/>
      <c r="H14" s="935"/>
      <c r="I14" s="25"/>
      <c r="J14" s="25"/>
      <c r="K14" s="443" t="s">
        <v>326</v>
      </c>
      <c r="L14" s="390"/>
    </row>
    <row r="15" spans="2:14" x14ac:dyDescent="0.3">
      <c r="B15" s="389"/>
      <c r="C15" s="444">
        <v>2022</v>
      </c>
      <c r="D15" s="444">
        <v>2023</v>
      </c>
      <c r="E15" s="25"/>
      <c r="F15" s="444">
        <f>Amortización!H5</f>
        <v>2021</v>
      </c>
      <c r="G15" s="444">
        <f>Amortización!I5</f>
        <v>2022</v>
      </c>
      <c r="H15" s="444">
        <f>Amortización!J5</f>
        <v>2023</v>
      </c>
      <c r="I15" s="25"/>
      <c r="J15" s="25"/>
      <c r="K15" s="944" t="str">
        <f>'Matriz de riesgo'!E16</f>
        <v>Bajan las ventas un 3% en los años 2022 y 2023</v>
      </c>
      <c r="L15" s="390"/>
    </row>
    <row r="16" spans="2:14" ht="15" thickBot="1" x14ac:dyDescent="0.35">
      <c r="B16" s="389"/>
      <c r="C16" s="452">
        <v>0.97</v>
      </c>
      <c r="D16" s="452">
        <v>0.97</v>
      </c>
      <c r="E16" s="393"/>
      <c r="F16" s="392">
        <f>Amortización!H6</f>
        <v>629915</v>
      </c>
      <c r="G16" s="392">
        <f>Amortización!I6</f>
        <v>1676002.3</v>
      </c>
      <c r="H16" s="392">
        <f>Amortización!J6</f>
        <v>6445974.5999999996</v>
      </c>
      <c r="I16" s="25"/>
      <c r="J16" s="25"/>
      <c r="K16" s="946"/>
      <c r="L16" s="390"/>
    </row>
    <row r="17" spans="2:12" x14ac:dyDescent="0.3">
      <c r="B17" s="389"/>
      <c r="C17" s="25"/>
      <c r="D17" s="25"/>
      <c r="E17" s="393"/>
      <c r="F17" s="394"/>
      <c r="G17" s="394"/>
      <c r="H17" s="394"/>
      <c r="I17" s="25"/>
      <c r="J17" s="25"/>
      <c r="K17" s="25"/>
      <c r="L17" s="390"/>
    </row>
    <row r="18" spans="2:12" x14ac:dyDescent="0.3">
      <c r="B18" s="389"/>
      <c r="C18" s="25"/>
      <c r="D18" s="25"/>
      <c r="E18" s="933" t="s">
        <v>261</v>
      </c>
      <c r="F18" s="934"/>
      <c r="G18" s="934"/>
      <c r="H18" s="935"/>
      <c r="I18" s="25"/>
      <c r="J18" s="25"/>
      <c r="K18" s="25"/>
      <c r="L18" s="390"/>
    </row>
    <row r="19" spans="2:12" x14ac:dyDescent="0.3">
      <c r="B19" s="389"/>
      <c r="C19" s="25"/>
      <c r="D19" s="25"/>
      <c r="E19" s="445" t="str">
        <f>'Modelo de inversión'!H4</f>
        <v>Inversión inicial</v>
      </c>
      <c r="F19" s="445">
        <f>'Modelo de inversión'!I4</f>
        <v>2021</v>
      </c>
      <c r="G19" s="445">
        <f>'Modelo de inversión'!J4</f>
        <v>2022</v>
      </c>
      <c r="H19" s="445">
        <f>'Modelo de inversión'!K4</f>
        <v>2023</v>
      </c>
      <c r="I19" s="25"/>
      <c r="J19" s="25"/>
      <c r="K19" s="25"/>
      <c r="L19" s="390"/>
    </row>
    <row r="20" spans="2:12" x14ac:dyDescent="0.3">
      <c r="B20" s="389"/>
      <c r="C20" s="25"/>
      <c r="D20" s="25"/>
      <c r="E20" s="392">
        <f>'Modelo de inversión'!H5</f>
        <v>8491000</v>
      </c>
      <c r="F20" s="392">
        <f>'Modelo de inversión'!I5</f>
        <v>10440873</v>
      </c>
      <c r="G20" s="392">
        <f>'Modelo de inversión'!J5</f>
        <v>23910723</v>
      </c>
      <c r="H20" s="392">
        <f>'Modelo de inversión'!K5</f>
        <v>26229300</v>
      </c>
      <c r="I20" s="25"/>
      <c r="J20" s="25"/>
      <c r="K20" s="25"/>
      <c r="L20" s="390"/>
    </row>
    <row r="21" spans="2:12" x14ac:dyDescent="0.3">
      <c r="B21" s="389"/>
      <c r="C21" s="25"/>
      <c r="D21" s="25"/>
      <c r="E21" s="25"/>
      <c r="F21" s="25"/>
      <c r="G21" s="25"/>
      <c r="H21" s="25"/>
      <c r="I21" s="25"/>
      <c r="J21" s="25"/>
      <c r="K21" s="25"/>
      <c r="L21" s="390"/>
    </row>
    <row r="22" spans="2:12" x14ac:dyDescent="0.3">
      <c r="B22" s="389"/>
      <c r="C22" s="25"/>
      <c r="D22" s="25"/>
      <c r="E22" s="444" t="str">
        <f>'Presupuesto financiero'!D11</f>
        <v>Año cero</v>
      </c>
      <c r="F22" s="444">
        <f>'Presupuesto financiero'!E11</f>
        <v>2021</v>
      </c>
      <c r="G22" s="444">
        <f>'Presupuesto financiero'!F11</f>
        <v>2022</v>
      </c>
      <c r="H22" s="444">
        <f>'Presupuesto financiero'!G11</f>
        <v>2023</v>
      </c>
      <c r="I22" s="25"/>
      <c r="J22" s="25"/>
      <c r="K22" s="25"/>
      <c r="L22" s="390"/>
    </row>
    <row r="23" spans="2:12" x14ac:dyDescent="0.3">
      <c r="B23" s="389"/>
      <c r="C23" s="446" t="s">
        <v>58</v>
      </c>
      <c r="D23" s="447"/>
      <c r="E23" s="395" t="s">
        <v>265</v>
      </c>
      <c r="F23" s="396">
        <f>F9</f>
        <v>72000000</v>
      </c>
      <c r="G23" s="451">
        <f>G9*$C$16</f>
        <v>139680000</v>
      </c>
      <c r="H23" s="451">
        <f>H9*$D$16</f>
        <v>232800000</v>
      </c>
      <c r="I23" s="25"/>
      <c r="J23" s="25"/>
      <c r="K23" s="25"/>
      <c r="L23" s="390"/>
    </row>
    <row r="24" spans="2:12" x14ac:dyDescent="0.3">
      <c r="B24" s="389"/>
      <c r="C24" s="936" t="s">
        <v>279</v>
      </c>
      <c r="D24" s="441" t="s">
        <v>340</v>
      </c>
      <c r="E24" s="395" t="s">
        <v>265</v>
      </c>
      <c r="F24" s="396">
        <f>F10</f>
        <v>7891200</v>
      </c>
      <c r="G24" s="396">
        <f t="shared" ref="G24:H26" si="0">G10</f>
        <v>11972400</v>
      </c>
      <c r="H24" s="396">
        <f t="shared" si="0"/>
        <v>18914400</v>
      </c>
      <c r="I24" s="25"/>
      <c r="J24" s="25"/>
      <c r="K24" s="25"/>
      <c r="L24" s="390"/>
    </row>
    <row r="25" spans="2:12" x14ac:dyDescent="0.3">
      <c r="B25" s="389"/>
      <c r="C25" s="937"/>
      <c r="D25" s="441" t="s">
        <v>341</v>
      </c>
      <c r="E25" s="395" t="s">
        <v>265</v>
      </c>
      <c r="F25" s="396">
        <f>F11</f>
        <v>9615240</v>
      </c>
      <c r="G25" s="451">
        <f>G11*$C$16</f>
        <v>17589708.399999999</v>
      </c>
      <c r="H25" s="451">
        <f>H11*$D$16</f>
        <v>26595169</v>
      </c>
      <c r="I25" s="25"/>
      <c r="J25" s="25"/>
      <c r="K25" s="25"/>
      <c r="L25" s="390"/>
    </row>
    <row r="26" spans="2:12" x14ac:dyDescent="0.3">
      <c r="B26" s="389"/>
      <c r="C26" s="938"/>
      <c r="D26" s="441" t="s">
        <v>342</v>
      </c>
      <c r="E26" s="395" t="s">
        <v>265</v>
      </c>
      <c r="F26" s="396">
        <f>F12</f>
        <v>31080950.586450003</v>
      </c>
      <c r="G26" s="396">
        <f t="shared" si="0"/>
        <v>39922402.094400004</v>
      </c>
      <c r="H26" s="396">
        <f t="shared" si="0"/>
        <v>65028176.810399979</v>
      </c>
      <c r="I26" s="25"/>
      <c r="J26" s="25"/>
      <c r="K26" s="25"/>
      <c r="L26" s="390"/>
    </row>
    <row r="27" spans="2:12" x14ac:dyDescent="0.3">
      <c r="B27" s="389"/>
      <c r="C27" s="397" t="s">
        <v>280</v>
      </c>
      <c r="D27" s="398"/>
      <c r="E27" s="375" t="s">
        <v>265</v>
      </c>
      <c r="F27" s="399">
        <f>F23-F24-F25-F26</f>
        <v>23412609.413549997</v>
      </c>
      <c r="G27" s="399">
        <f t="shared" ref="G27:H27" si="1">G23-G24-G25-G26</f>
        <v>70195489.50559999</v>
      </c>
      <c r="H27" s="399">
        <f t="shared" si="1"/>
        <v>122262254.18960002</v>
      </c>
      <c r="I27" s="25"/>
      <c r="J27" s="25"/>
      <c r="K27" s="25"/>
      <c r="L27" s="390"/>
    </row>
    <row r="28" spans="2:12" x14ac:dyDescent="0.3">
      <c r="B28" s="389"/>
      <c r="C28" s="448" t="s">
        <v>281</v>
      </c>
      <c r="D28" s="449"/>
      <c r="E28" s="148" t="s">
        <v>265</v>
      </c>
      <c r="F28" s="396">
        <f>F23*0.03</f>
        <v>2160000</v>
      </c>
      <c r="G28" s="396">
        <f t="shared" ref="G28:H28" si="2">G23*0.03</f>
        <v>4190400</v>
      </c>
      <c r="H28" s="396">
        <f t="shared" si="2"/>
        <v>6984000</v>
      </c>
      <c r="I28" s="25"/>
      <c r="J28" s="25"/>
      <c r="K28" s="25"/>
      <c r="L28" s="390"/>
    </row>
    <row r="29" spans="2:12" x14ac:dyDescent="0.3">
      <c r="B29" s="389"/>
      <c r="C29" s="448" t="s">
        <v>283</v>
      </c>
      <c r="D29" s="449"/>
      <c r="E29" s="148" t="s">
        <v>265</v>
      </c>
      <c r="F29" s="396">
        <v>0</v>
      </c>
      <c r="G29" s="396">
        <f>0.35*F34</f>
        <v>7438413.2947424985</v>
      </c>
      <c r="H29" s="396">
        <f>0.35*G34</f>
        <v>22515180.521959998</v>
      </c>
      <c r="I29" s="25"/>
      <c r="J29" s="25"/>
      <c r="K29" s="25"/>
      <c r="L29" s="390"/>
    </row>
    <row r="30" spans="2:12" x14ac:dyDescent="0.3">
      <c r="B30" s="389"/>
      <c r="C30" s="397" t="s">
        <v>284</v>
      </c>
      <c r="D30" s="398"/>
      <c r="E30" s="375" t="s">
        <v>265</v>
      </c>
      <c r="F30" s="399">
        <f>F27-F28-F29</f>
        <v>21252609.413549997</v>
      </c>
      <c r="G30" s="399">
        <f>G27-G28-G29</f>
        <v>58566676.210857496</v>
      </c>
      <c r="H30" s="399">
        <f>H27-H28-H29</f>
        <v>92763073.66764003</v>
      </c>
      <c r="I30" s="25"/>
      <c r="J30" s="25"/>
      <c r="K30" s="25"/>
      <c r="L30" s="390"/>
    </row>
    <row r="31" spans="2:12" x14ac:dyDescent="0.3">
      <c r="B31" s="389"/>
      <c r="C31" s="448" t="s">
        <v>285</v>
      </c>
      <c r="D31" s="449"/>
      <c r="E31" s="396">
        <f>-E20</f>
        <v>-8491000</v>
      </c>
      <c r="F31" s="396">
        <f t="shared" ref="F31:H31" si="3">-F20</f>
        <v>-10440873</v>
      </c>
      <c r="G31" s="396">
        <f t="shared" si="3"/>
        <v>-23910723</v>
      </c>
      <c r="H31" s="396">
        <f t="shared" si="3"/>
        <v>-26229300</v>
      </c>
      <c r="I31" s="25"/>
      <c r="J31" s="25"/>
      <c r="K31" s="25"/>
      <c r="L31" s="390"/>
    </row>
    <row r="32" spans="2:12" x14ac:dyDescent="0.3">
      <c r="B32" s="389"/>
      <c r="C32" s="397" t="s">
        <v>286</v>
      </c>
      <c r="D32" s="398"/>
      <c r="E32" s="399">
        <f>E31</f>
        <v>-8491000</v>
      </c>
      <c r="F32" s="399">
        <f>F30+F31</f>
        <v>10811736.413549997</v>
      </c>
      <c r="G32" s="399">
        <f t="shared" ref="G32:H32" si="4">G30+G31</f>
        <v>34655953.210857496</v>
      </c>
      <c r="H32" s="399">
        <f t="shared" si="4"/>
        <v>66533773.66764003</v>
      </c>
      <c r="I32" s="25"/>
      <c r="J32" s="25"/>
      <c r="K32" s="25"/>
      <c r="L32" s="390"/>
    </row>
    <row r="33" spans="2:12" x14ac:dyDescent="0.3">
      <c r="B33" s="389"/>
      <c r="C33" s="25"/>
      <c r="D33" s="25"/>
      <c r="E33" s="524"/>
      <c r="F33" s="524"/>
      <c r="G33" s="524"/>
      <c r="H33" s="524"/>
      <c r="I33" s="25"/>
      <c r="J33" s="25"/>
      <c r="K33" s="25"/>
      <c r="L33" s="390"/>
    </row>
    <row r="34" spans="2:12" x14ac:dyDescent="0.3">
      <c r="B34" s="389"/>
      <c r="C34" s="939" t="s">
        <v>282</v>
      </c>
      <c r="D34" s="940"/>
      <c r="E34" s="416"/>
      <c r="F34" s="450">
        <f>F27-F28</f>
        <v>21252609.413549997</v>
      </c>
      <c r="G34" s="450">
        <f>G27-G28-G16</f>
        <v>64329087.205599993</v>
      </c>
      <c r="H34" s="450">
        <f>H27-H28-H16</f>
        <v>108832279.58960003</v>
      </c>
      <c r="I34" s="25"/>
      <c r="J34" s="25"/>
      <c r="K34" s="25"/>
      <c r="L34" s="390"/>
    </row>
    <row r="35" spans="2:12" x14ac:dyDescent="0.3">
      <c r="B35" s="389"/>
      <c r="C35" s="25"/>
      <c r="D35" s="25"/>
      <c r="E35" s="25"/>
      <c r="F35" s="25"/>
      <c r="G35" s="25"/>
      <c r="H35" s="25"/>
      <c r="I35" s="25"/>
      <c r="J35" s="25"/>
      <c r="K35" s="25"/>
      <c r="L35" s="390"/>
    </row>
    <row r="36" spans="2:12" x14ac:dyDescent="0.3">
      <c r="B36" s="389"/>
      <c r="C36" s="25"/>
      <c r="D36" s="25"/>
      <c r="E36" s="25"/>
      <c r="F36" s="25"/>
      <c r="G36" s="453" t="s">
        <v>287</v>
      </c>
      <c r="H36" s="400">
        <v>0.84</v>
      </c>
      <c r="I36" s="25"/>
      <c r="J36" s="25"/>
      <c r="K36" s="25"/>
      <c r="L36" s="390"/>
    </row>
    <row r="37" spans="2:12" x14ac:dyDescent="0.3">
      <c r="B37" s="389"/>
      <c r="C37" s="25"/>
      <c r="D37" s="25"/>
      <c r="E37" s="25"/>
      <c r="F37" s="25"/>
      <c r="G37" s="453" t="s">
        <v>288</v>
      </c>
      <c r="H37" s="401">
        <f>+NPV(H36,E32:H32)</f>
        <v>9946550.835149603</v>
      </c>
      <c r="I37" s="25"/>
      <c r="J37" s="25"/>
      <c r="K37" s="25"/>
      <c r="L37" s="390"/>
    </row>
    <row r="38" spans="2:12" x14ac:dyDescent="0.3">
      <c r="B38" s="389"/>
      <c r="C38" s="25"/>
      <c r="D38" s="25"/>
      <c r="E38" s="25"/>
      <c r="F38" s="25"/>
      <c r="G38" s="453" t="s">
        <v>289</v>
      </c>
      <c r="H38" s="402">
        <f>+IRR(E32:H32,H36)</f>
        <v>2.2614245607811676</v>
      </c>
      <c r="I38" s="25"/>
      <c r="J38" s="25"/>
      <c r="K38" s="25"/>
      <c r="L38" s="390"/>
    </row>
    <row r="39" spans="2:12" ht="15" thickBot="1" x14ac:dyDescent="0.35">
      <c r="B39" s="403"/>
      <c r="C39" s="404"/>
      <c r="D39" s="404"/>
      <c r="E39" s="404"/>
      <c r="F39" s="404"/>
      <c r="G39" s="404"/>
      <c r="H39" s="404"/>
      <c r="I39" s="404"/>
      <c r="J39" s="404"/>
      <c r="K39" s="404"/>
      <c r="L39" s="405"/>
    </row>
  </sheetData>
  <mergeCells count="11">
    <mergeCell ref="D1:K1"/>
    <mergeCell ref="C24:C26"/>
    <mergeCell ref="C34:D34"/>
    <mergeCell ref="C4:K4"/>
    <mergeCell ref="F6:H6"/>
    <mergeCell ref="K7:K9"/>
    <mergeCell ref="K11:K13"/>
    <mergeCell ref="C14:D14"/>
    <mergeCell ref="F14:H14"/>
    <mergeCell ref="K15:K16"/>
    <mergeCell ref="E18:H18"/>
  </mergeCells>
  <pageMargins left="0.7" right="0.7" top="0.75" bottom="0.75" header="0.3" footer="0.3"/>
  <drawing r:id="rId1"/>
  <legacyDrawing r:id="rId2"/>
  <controls>
    <mc:AlternateContent xmlns:mc="http://schemas.openxmlformats.org/markup-compatibility/2006">
      <mc:Choice Requires="x14">
        <control shapeId="20481" r:id="rId3" name="btnIndice">
          <controlPr defaultSize="0" autoLine="0" r:id="rId4">
            <anchor moveWithCells="1">
              <from>
                <xdr:col>1</xdr:col>
                <xdr:colOff>15240</xdr:colOff>
                <xdr:row>0</xdr:row>
                <xdr:rowOff>121920</xdr:rowOff>
              </from>
              <to>
                <xdr:col>3</xdr:col>
                <xdr:colOff>99060</xdr:colOff>
                <xdr:row>0</xdr:row>
                <xdr:rowOff>419100</xdr:rowOff>
              </to>
            </anchor>
          </controlPr>
        </control>
      </mc:Choice>
      <mc:Fallback>
        <control shapeId="20481" r:id="rId3" name="btnIndice"/>
      </mc:Fallback>
    </mc:AlternateContent>
    <mc:AlternateContent xmlns:mc="http://schemas.openxmlformats.org/markup-compatibility/2006">
      <mc:Choice Requires="x14">
        <control shapeId="20482" r:id="rId5" name="btnAnterior">
          <controlPr defaultSize="0" autoLine="0" r:id="rId6">
            <anchor moveWithCells="1">
              <from>
                <xdr:col>9</xdr:col>
                <xdr:colOff>30480</xdr:colOff>
                <xdr:row>0</xdr:row>
                <xdr:rowOff>129540</xdr:rowOff>
              </from>
              <to>
                <xdr:col>10</xdr:col>
                <xdr:colOff>906780</xdr:colOff>
                <xdr:row>0</xdr:row>
                <xdr:rowOff>426720</xdr:rowOff>
              </to>
            </anchor>
          </controlPr>
        </control>
      </mc:Choice>
      <mc:Fallback>
        <control shapeId="20482" r:id="rId5" name="btnAnterior"/>
      </mc:Fallback>
    </mc:AlternateContent>
    <mc:AlternateContent xmlns:mc="http://schemas.openxmlformats.org/markup-compatibility/2006">
      <mc:Choice Requires="x14">
        <control shapeId="20483" r:id="rId7" name="btnSiguiente">
          <controlPr defaultSize="0" autoLine="0" r:id="rId8">
            <anchor moveWithCells="1">
              <from>
                <xdr:col>10</xdr:col>
                <xdr:colOff>861060</xdr:colOff>
                <xdr:row>0</xdr:row>
                <xdr:rowOff>121920</xdr:rowOff>
              </from>
              <to>
                <xdr:col>11</xdr:col>
                <xdr:colOff>68580</xdr:colOff>
                <xdr:row>0</xdr:row>
                <xdr:rowOff>419100</xdr:rowOff>
              </to>
            </anchor>
          </controlPr>
        </control>
      </mc:Choice>
      <mc:Fallback>
        <control shapeId="20483" r:id="rId7" name="btnSiguient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0"/>
  <dimension ref="B1:O46"/>
  <sheetViews>
    <sheetView showGridLines="0" topLeftCell="B1" zoomScaleNormal="100" workbookViewId="0">
      <pane ySplit="1" topLeftCell="A24" activePane="bottomLeft" state="frozen"/>
      <selection pane="bottomLeft" activeCell="E38" sqref="E38"/>
    </sheetView>
  </sheetViews>
  <sheetFormatPr baseColWidth="10" defaultRowHeight="14.4" x14ac:dyDescent="0.3"/>
  <cols>
    <col min="3" max="3" width="19.44140625" customWidth="1"/>
    <col min="4" max="4" width="17.44140625" customWidth="1"/>
    <col min="5" max="5" width="16.88671875" customWidth="1"/>
    <col min="6" max="6" width="19.88671875" customWidth="1"/>
    <col min="7" max="7" width="19.44140625" customWidth="1"/>
    <col min="8" max="8" width="19.5546875" customWidth="1"/>
    <col min="9" max="9" width="13.88671875" customWidth="1"/>
    <col min="10" max="10" width="44.6640625" customWidth="1"/>
    <col min="11" max="11" width="16.44140625" customWidth="1"/>
    <col min="12" max="12" width="41.44140625" customWidth="1"/>
    <col min="13" max="13" width="18.44140625" customWidth="1"/>
  </cols>
  <sheetData>
    <row r="1" spans="2:15" s="442" customFormat="1" ht="46.5" customHeight="1" thickBot="1" x14ac:dyDescent="0.35">
      <c r="E1" s="840" t="s">
        <v>396</v>
      </c>
      <c r="F1" s="840"/>
      <c r="G1" s="840"/>
      <c r="H1" s="840"/>
      <c r="I1" s="840"/>
      <c r="J1" s="840"/>
      <c r="K1" s="840"/>
    </row>
    <row r="2" spans="2:15" ht="15.6" thickTop="1" thickBot="1" x14ac:dyDescent="0.35"/>
    <row r="3" spans="2:15" ht="15" thickBot="1" x14ac:dyDescent="0.35">
      <c r="B3" s="2"/>
      <c r="C3" s="5"/>
      <c r="D3" s="5"/>
      <c r="E3" s="5"/>
      <c r="F3" s="5"/>
      <c r="G3" s="5"/>
      <c r="H3" s="5"/>
      <c r="I3" s="5"/>
      <c r="J3" s="5"/>
      <c r="K3" s="5"/>
      <c r="L3" s="5"/>
      <c r="M3" s="5"/>
      <c r="N3" s="5"/>
      <c r="O3" s="3"/>
    </row>
    <row r="4" spans="2:15" ht="21.6" thickBot="1" x14ac:dyDescent="0.45">
      <c r="B4" s="1"/>
      <c r="C4" s="975" t="s">
        <v>397</v>
      </c>
      <c r="D4" s="976"/>
      <c r="E4" s="976"/>
      <c r="F4" s="976"/>
      <c r="G4" s="976"/>
      <c r="H4" s="976"/>
      <c r="I4" s="976"/>
      <c r="J4" s="976"/>
      <c r="K4" s="976"/>
      <c r="L4" s="976"/>
      <c r="M4" s="976"/>
      <c r="N4" s="977"/>
      <c r="O4" s="4"/>
    </row>
    <row r="5" spans="2:15" ht="15" thickBot="1" x14ac:dyDescent="0.35">
      <c r="B5" s="1"/>
      <c r="C5" s="25"/>
      <c r="D5" s="25"/>
      <c r="E5" s="25"/>
      <c r="F5" s="25"/>
      <c r="G5" s="25"/>
      <c r="H5" s="25"/>
      <c r="I5" s="25"/>
      <c r="J5" s="25"/>
      <c r="K5" s="25"/>
      <c r="L5" s="25"/>
      <c r="M5" s="25"/>
      <c r="N5" s="25"/>
      <c r="O5" s="4"/>
    </row>
    <row r="6" spans="2:15" ht="15.75" customHeight="1" thickBot="1" x14ac:dyDescent="0.35">
      <c r="B6" s="1"/>
      <c r="D6" s="25"/>
      <c r="E6" s="25"/>
      <c r="F6" s="949" t="s">
        <v>337</v>
      </c>
      <c r="G6" s="950"/>
      <c r="H6" s="951"/>
      <c r="I6" s="25"/>
      <c r="J6" s="443" t="s">
        <v>344</v>
      </c>
      <c r="L6" s="471" t="s">
        <v>345</v>
      </c>
      <c r="O6" s="4"/>
    </row>
    <row r="7" spans="2:15" x14ac:dyDescent="0.3">
      <c r="B7" s="1"/>
      <c r="D7" s="25"/>
      <c r="E7" s="25"/>
      <c r="F7" s="445">
        <f>Hipótesis!B23</f>
        <v>2022</v>
      </c>
      <c r="G7" s="445">
        <f>Hipótesis!B24</f>
        <v>2023</v>
      </c>
      <c r="H7" s="445">
        <f>Hipótesis!B25</f>
        <v>2024</v>
      </c>
      <c r="I7" s="25"/>
      <c r="J7" s="978" t="str">
        <f>'Matriz de riesgo'!C6</f>
        <v>Aumento inflacionario de un 33% en el año 2022.</v>
      </c>
      <c r="L7" s="981" t="s">
        <v>408</v>
      </c>
      <c r="O7" s="4"/>
    </row>
    <row r="8" spans="2:15" x14ac:dyDescent="0.3">
      <c r="B8" s="1"/>
      <c r="D8" s="25"/>
      <c r="E8" s="25"/>
      <c r="F8" s="391">
        <f>Hipótesis!C23</f>
        <v>0.03</v>
      </c>
      <c r="G8" s="391">
        <f>Hipótesis!C24</f>
        <v>0.06</v>
      </c>
      <c r="H8" s="391">
        <f>Hipótesis!C25</f>
        <v>0.1</v>
      </c>
      <c r="I8" s="25"/>
      <c r="J8" s="979"/>
      <c r="L8" s="982"/>
      <c r="O8" s="4"/>
    </row>
    <row r="9" spans="2:15" ht="15" thickBot="1" x14ac:dyDescent="0.35">
      <c r="B9" s="1"/>
      <c r="D9" s="25"/>
      <c r="E9" s="441" t="s">
        <v>338</v>
      </c>
      <c r="F9" s="349">
        <f>Hipótesis!D23</f>
        <v>72000000</v>
      </c>
      <c r="G9" s="349">
        <f>Hipótesis!D24</f>
        <v>144000000</v>
      </c>
      <c r="H9" s="349">
        <f>Hipótesis!D25</f>
        <v>240000000</v>
      </c>
      <c r="I9" s="25"/>
      <c r="J9" s="980"/>
      <c r="L9" s="982"/>
      <c r="O9" s="4"/>
    </row>
    <row r="10" spans="2:15" ht="15" thickBot="1" x14ac:dyDescent="0.35">
      <c r="B10" s="1"/>
      <c r="D10" s="25"/>
      <c r="E10" s="441" t="s">
        <v>255</v>
      </c>
      <c r="F10" s="392">
        <f>'Presupuesto financiero'!E13</f>
        <v>7891200</v>
      </c>
      <c r="G10" s="392">
        <f>'Presupuesto financiero'!F13</f>
        <v>11972400</v>
      </c>
      <c r="H10" s="392">
        <f>'Presupuesto financiero'!G13</f>
        <v>18914400</v>
      </c>
      <c r="I10" s="25"/>
      <c r="J10" s="443" t="s">
        <v>325</v>
      </c>
      <c r="L10" s="982"/>
      <c r="O10" s="4"/>
    </row>
    <row r="11" spans="2:15" x14ac:dyDescent="0.3">
      <c r="B11" s="1"/>
      <c r="D11" s="25"/>
      <c r="E11" s="441" t="s">
        <v>257</v>
      </c>
      <c r="F11" s="392">
        <f>'Presupuesto financiero'!E14</f>
        <v>9615240</v>
      </c>
      <c r="G11" s="392">
        <f>'Presupuesto financiero'!F14</f>
        <v>18133720</v>
      </c>
      <c r="H11" s="392">
        <f>'Presupuesto financiero'!G14</f>
        <v>27417700</v>
      </c>
      <c r="I11" s="25"/>
      <c r="J11" s="978" t="str">
        <f>'Matriz de riesgo'!D6</f>
        <v xml:space="preserve">Debido al esquema de políticas macroeconómicas, fiscal y cambiarias asociadas a las decisiones gubernamentales las ventas bajan por la crísis que vive el país. </v>
      </c>
      <c r="L11" s="982"/>
      <c r="O11" s="4"/>
    </row>
    <row r="12" spans="2:15" x14ac:dyDescent="0.3">
      <c r="B12" s="1"/>
      <c r="D12" s="25"/>
      <c r="E12" s="441" t="s">
        <v>254</v>
      </c>
      <c r="F12" s="392">
        <f>'Presupuesto financiero'!E15</f>
        <v>31080950.586450003</v>
      </c>
      <c r="G12" s="392">
        <f>'Presupuesto financiero'!F15</f>
        <v>39922402.094400004</v>
      </c>
      <c r="H12" s="392">
        <f>'Presupuesto financiero'!G15</f>
        <v>65028176.810399979</v>
      </c>
      <c r="I12" s="25"/>
      <c r="J12" s="979"/>
      <c r="L12" s="982"/>
      <c r="O12" s="4"/>
    </row>
    <row r="13" spans="2:15" ht="38.25" customHeight="1" thickBot="1" x14ac:dyDescent="0.35">
      <c r="B13" s="1"/>
      <c r="D13" s="25"/>
      <c r="E13" s="25"/>
      <c r="F13" s="25"/>
      <c r="G13" s="25"/>
      <c r="H13" s="25"/>
      <c r="I13" s="25"/>
      <c r="J13" s="980"/>
      <c r="L13" s="982"/>
      <c r="O13" s="4"/>
    </row>
    <row r="14" spans="2:15" ht="15" thickBot="1" x14ac:dyDescent="0.35">
      <c r="B14" s="1"/>
      <c r="C14" s="947" t="s">
        <v>339</v>
      </c>
      <c r="D14" s="948"/>
      <c r="E14" s="25"/>
      <c r="F14" s="933" t="s">
        <v>271</v>
      </c>
      <c r="G14" s="934"/>
      <c r="H14" s="935"/>
      <c r="J14" s="443" t="s">
        <v>326</v>
      </c>
      <c r="L14" s="982"/>
      <c r="O14" s="4"/>
    </row>
    <row r="15" spans="2:15" ht="36.75" customHeight="1" thickBot="1" x14ac:dyDescent="0.35">
      <c r="B15" s="1"/>
      <c r="C15" s="444">
        <v>2022</v>
      </c>
      <c r="D15" s="444">
        <v>2023</v>
      </c>
      <c r="E15" s="25"/>
      <c r="F15" s="444">
        <f>Amortización!H5</f>
        <v>2021</v>
      </c>
      <c r="G15" s="444">
        <f>Amortización!I5</f>
        <v>2022</v>
      </c>
      <c r="H15" s="444">
        <f>Amortización!J5</f>
        <v>2023</v>
      </c>
      <c r="J15" s="406" t="str">
        <f>'Matriz de riesgo'!E6</f>
        <v>Caen las ventas un 15% en 2022 y 2023.</v>
      </c>
      <c r="L15" s="982"/>
      <c r="O15" s="4"/>
    </row>
    <row r="16" spans="2:15" x14ac:dyDescent="0.3">
      <c r="B16" s="1"/>
      <c r="C16" s="452">
        <v>0.85</v>
      </c>
      <c r="D16" s="452">
        <v>0.85</v>
      </c>
      <c r="E16" s="393"/>
      <c r="F16" s="392">
        <f>Amortización!H6</f>
        <v>629915</v>
      </c>
      <c r="G16" s="392">
        <f>Amortización!I6</f>
        <v>1676002.3</v>
      </c>
      <c r="H16" s="392">
        <f>Amortización!J6</f>
        <v>6445974.5999999996</v>
      </c>
      <c r="L16" s="982"/>
      <c r="O16" s="4"/>
    </row>
    <row r="17" spans="2:15" x14ac:dyDescent="0.3">
      <c r="B17" s="1"/>
      <c r="C17" s="25"/>
      <c r="D17" s="25"/>
      <c r="E17" s="393"/>
      <c r="F17" s="394"/>
      <c r="G17" s="394"/>
      <c r="H17" s="394"/>
      <c r="L17" s="982"/>
      <c r="O17" s="4"/>
    </row>
    <row r="18" spans="2:15" x14ac:dyDescent="0.3">
      <c r="B18" s="1"/>
      <c r="D18" s="25"/>
      <c r="E18" s="933" t="s">
        <v>261</v>
      </c>
      <c r="F18" s="934"/>
      <c r="G18" s="934"/>
      <c r="H18" s="935"/>
      <c r="L18" s="982"/>
      <c r="O18" s="4"/>
    </row>
    <row r="19" spans="2:15" x14ac:dyDescent="0.3">
      <c r="B19" s="1"/>
      <c r="D19" s="25"/>
      <c r="E19" s="445" t="str">
        <f>'Modelo de inversión'!H4</f>
        <v>Inversión inicial</v>
      </c>
      <c r="F19" s="445">
        <f>'Modelo de inversión'!I4</f>
        <v>2021</v>
      </c>
      <c r="G19" s="445">
        <f>'Modelo de inversión'!J4</f>
        <v>2022</v>
      </c>
      <c r="H19" s="445">
        <f>'Modelo de inversión'!K4</f>
        <v>2023</v>
      </c>
      <c r="L19" s="982"/>
      <c r="O19" s="4"/>
    </row>
    <row r="20" spans="2:15" x14ac:dyDescent="0.3">
      <c r="B20" s="1"/>
      <c r="D20" s="25"/>
      <c r="E20" s="392">
        <f>'Modelo de inversión'!H5</f>
        <v>8491000</v>
      </c>
      <c r="F20" s="392">
        <f>'Modelo de inversión'!I5</f>
        <v>10440873</v>
      </c>
      <c r="G20" s="392">
        <f>'Modelo de inversión'!J5</f>
        <v>23910723</v>
      </c>
      <c r="H20" s="392">
        <f>'Modelo de inversión'!K5</f>
        <v>26229300</v>
      </c>
      <c r="L20" s="982"/>
      <c r="O20" s="4"/>
    </row>
    <row r="21" spans="2:15" x14ac:dyDescent="0.3">
      <c r="B21" s="1"/>
      <c r="D21" s="25"/>
      <c r="E21" s="25"/>
      <c r="F21" s="25"/>
      <c r="G21" s="25"/>
      <c r="H21" s="25"/>
      <c r="L21" s="982"/>
      <c r="O21" s="4"/>
    </row>
    <row r="22" spans="2:15" x14ac:dyDescent="0.3">
      <c r="B22" s="1"/>
      <c r="C22" s="25"/>
      <c r="D22" s="25"/>
      <c r="E22" s="444" t="str">
        <f>'Presupuesto financiero'!D11</f>
        <v>Año cero</v>
      </c>
      <c r="F22" s="444">
        <f>'Presupuesto financiero'!E11</f>
        <v>2021</v>
      </c>
      <c r="G22" s="444">
        <f>'Presupuesto financiero'!F11</f>
        <v>2022</v>
      </c>
      <c r="H22" s="444">
        <f>'Presupuesto financiero'!G11</f>
        <v>2023</v>
      </c>
      <c r="L22" s="982"/>
      <c r="O22" s="4"/>
    </row>
    <row r="23" spans="2:15" x14ac:dyDescent="0.3">
      <c r="B23" s="1"/>
      <c r="C23" s="446" t="s">
        <v>58</v>
      </c>
      <c r="D23" s="447"/>
      <c r="E23" s="395" t="s">
        <v>265</v>
      </c>
      <c r="F23" s="396">
        <f>F9</f>
        <v>72000000</v>
      </c>
      <c r="G23" s="451">
        <f>G9*$C$16</f>
        <v>122400000</v>
      </c>
      <c r="H23" s="451">
        <f>H9*$D$16</f>
        <v>204000000</v>
      </c>
      <c r="L23" s="982"/>
      <c r="O23" s="4"/>
    </row>
    <row r="24" spans="2:15" x14ac:dyDescent="0.3">
      <c r="B24" s="1"/>
      <c r="C24" s="936" t="s">
        <v>279</v>
      </c>
      <c r="D24" s="441" t="s">
        <v>340</v>
      </c>
      <c r="E24" s="395" t="s">
        <v>265</v>
      </c>
      <c r="F24" s="396">
        <f>F10</f>
        <v>7891200</v>
      </c>
      <c r="G24" s="396">
        <f t="shared" ref="G24:H26" si="0">G10</f>
        <v>11972400</v>
      </c>
      <c r="H24" s="396">
        <f t="shared" si="0"/>
        <v>18914400</v>
      </c>
      <c r="L24" s="982"/>
      <c r="O24" s="4"/>
    </row>
    <row r="25" spans="2:15" x14ac:dyDescent="0.3">
      <c r="B25" s="1"/>
      <c r="C25" s="937"/>
      <c r="D25" s="441" t="s">
        <v>341</v>
      </c>
      <c r="E25" s="395" t="s">
        <v>265</v>
      </c>
      <c r="F25" s="396">
        <f>F11</f>
        <v>9615240</v>
      </c>
      <c r="G25" s="451">
        <f>G11*$C$16</f>
        <v>15413662</v>
      </c>
      <c r="H25" s="451">
        <f>H11*$D$16</f>
        <v>23305045</v>
      </c>
      <c r="L25" s="982"/>
      <c r="O25" s="4"/>
    </row>
    <row r="26" spans="2:15" x14ac:dyDescent="0.3">
      <c r="B26" s="1"/>
      <c r="C26" s="938"/>
      <c r="D26" s="441" t="s">
        <v>342</v>
      </c>
      <c r="E26" s="395" t="s">
        <v>265</v>
      </c>
      <c r="F26" s="396">
        <f>F12</f>
        <v>31080950.586450003</v>
      </c>
      <c r="G26" s="396">
        <f t="shared" si="0"/>
        <v>39922402.094400004</v>
      </c>
      <c r="H26" s="396">
        <f t="shared" si="0"/>
        <v>65028176.810399979</v>
      </c>
      <c r="L26" s="982"/>
      <c r="O26" s="4"/>
    </row>
    <row r="27" spans="2:15" x14ac:dyDescent="0.3">
      <c r="B27" s="1"/>
      <c r="C27" s="397" t="s">
        <v>280</v>
      </c>
      <c r="D27" s="398"/>
      <c r="E27" s="375" t="s">
        <v>265</v>
      </c>
      <c r="F27" s="399">
        <f>F23-F24-F25-F26</f>
        <v>23412609.413549997</v>
      </c>
      <c r="G27" s="399">
        <f t="shared" ref="G27:H27" si="1">G23-G24-G25-G26</f>
        <v>55091535.905599996</v>
      </c>
      <c r="H27" s="399">
        <f t="shared" si="1"/>
        <v>96752378.189600021</v>
      </c>
      <c r="L27" s="982"/>
      <c r="O27" s="4"/>
    </row>
    <row r="28" spans="2:15" x14ac:dyDescent="0.3">
      <c r="B28" s="1"/>
      <c r="C28" s="448" t="s">
        <v>281</v>
      </c>
      <c r="D28" s="449"/>
      <c r="E28" s="148" t="s">
        <v>265</v>
      </c>
      <c r="F28" s="396">
        <f>F23*0.03</f>
        <v>2160000</v>
      </c>
      <c r="G28" s="396">
        <f t="shared" ref="G28:H28" si="2">G23*0.03</f>
        <v>3672000</v>
      </c>
      <c r="H28" s="396">
        <f t="shared" si="2"/>
        <v>6120000</v>
      </c>
      <c r="L28" s="982"/>
      <c r="O28" s="4"/>
    </row>
    <row r="29" spans="2:15" x14ac:dyDescent="0.3">
      <c r="B29" s="1"/>
      <c r="C29" s="448" t="s">
        <v>283</v>
      </c>
      <c r="D29" s="449"/>
      <c r="E29" s="148" t="s">
        <v>265</v>
      </c>
      <c r="F29" s="396">
        <v>0</v>
      </c>
      <c r="G29" s="396">
        <f>0.35*F34</f>
        <v>7438413.2947424985</v>
      </c>
      <c r="H29" s="396">
        <f>0.35*G34</f>
        <v>17410236.76196</v>
      </c>
      <c r="L29" s="982"/>
      <c r="O29" s="4"/>
    </row>
    <row r="30" spans="2:15" x14ac:dyDescent="0.3">
      <c r="B30" s="1"/>
      <c r="C30" s="397" t="s">
        <v>284</v>
      </c>
      <c r="D30" s="398"/>
      <c r="E30" s="375" t="s">
        <v>265</v>
      </c>
      <c r="F30" s="399">
        <f>F27-F28-F29</f>
        <v>21252609.413549997</v>
      </c>
      <c r="G30" s="399">
        <f>G27-G28-G29</f>
        <v>43981122.610857502</v>
      </c>
      <c r="H30" s="399">
        <f>H27-H28-H29</f>
        <v>73222141.427640021</v>
      </c>
      <c r="L30" s="982"/>
      <c r="O30" s="4"/>
    </row>
    <row r="31" spans="2:15" x14ac:dyDescent="0.3">
      <c r="B31" s="1"/>
      <c r="C31" s="448" t="s">
        <v>285</v>
      </c>
      <c r="D31" s="449"/>
      <c r="E31" s="396">
        <f>-E20</f>
        <v>-8491000</v>
      </c>
      <c r="F31" s="396">
        <f t="shared" ref="F31" si="3">-F20</f>
        <v>-10440873</v>
      </c>
      <c r="G31" s="470">
        <f>-G20+M41</f>
        <v>-12110723</v>
      </c>
      <c r="H31" s="470">
        <f>-H20+M42+M43+M44+M45</f>
        <v>-13339150</v>
      </c>
      <c r="L31" s="982"/>
      <c r="O31" s="4"/>
    </row>
    <row r="32" spans="2:15" x14ac:dyDescent="0.3">
      <c r="B32" s="1"/>
      <c r="C32" s="397" t="s">
        <v>286</v>
      </c>
      <c r="D32" s="398"/>
      <c r="E32" s="399">
        <f>E31</f>
        <v>-8491000</v>
      </c>
      <c r="F32" s="399">
        <f>F30+F31</f>
        <v>10811736.413549997</v>
      </c>
      <c r="G32" s="399">
        <f t="shared" ref="G32:H32" si="4">G30+G31</f>
        <v>31870399.610857502</v>
      </c>
      <c r="H32" s="399">
        <f t="shared" si="4"/>
        <v>59882991.427640021</v>
      </c>
      <c r="L32" s="982"/>
      <c r="O32" s="4"/>
    </row>
    <row r="33" spans="2:15" x14ac:dyDescent="0.3">
      <c r="B33" s="1"/>
      <c r="C33" s="25"/>
      <c r="D33" s="25"/>
      <c r="E33" s="524"/>
      <c r="F33" s="524"/>
      <c r="G33" s="524"/>
      <c r="H33" s="524"/>
      <c r="L33" s="982"/>
      <c r="O33" s="4"/>
    </row>
    <row r="34" spans="2:15" x14ac:dyDescent="0.3">
      <c r="B34" s="1"/>
      <c r="C34" s="939" t="s">
        <v>282</v>
      </c>
      <c r="D34" s="940"/>
      <c r="E34" s="416"/>
      <c r="F34" s="450">
        <f>F27-F28</f>
        <v>21252609.413549997</v>
      </c>
      <c r="G34" s="450">
        <f>G27-G28-G16</f>
        <v>49743533.605599999</v>
      </c>
      <c r="H34" s="450">
        <f>H27-H28-H16</f>
        <v>84186403.589600027</v>
      </c>
      <c r="L34" s="982"/>
      <c r="O34" s="4"/>
    </row>
    <row r="35" spans="2:15" ht="15" thickBot="1" x14ac:dyDescent="0.35">
      <c r="B35" s="1"/>
      <c r="C35" s="25"/>
      <c r="D35" s="25"/>
      <c r="E35" s="25"/>
      <c r="F35" s="25"/>
      <c r="G35" s="25"/>
      <c r="H35" s="25"/>
      <c r="I35" s="25"/>
      <c r="J35" s="457"/>
      <c r="L35" s="982"/>
      <c r="O35" s="4"/>
    </row>
    <row r="36" spans="2:15" ht="15" thickBot="1" x14ac:dyDescent="0.35">
      <c r="B36" s="1"/>
      <c r="C36" s="25"/>
      <c r="D36" s="971" t="s">
        <v>398</v>
      </c>
      <c r="E36" s="972"/>
      <c r="F36" s="25"/>
      <c r="G36" s="971" t="s">
        <v>347</v>
      </c>
      <c r="H36" s="972"/>
      <c r="I36" s="25"/>
      <c r="L36" s="982"/>
      <c r="O36" s="4"/>
    </row>
    <row r="37" spans="2:15" x14ac:dyDescent="0.3">
      <c r="B37" s="1"/>
      <c r="C37" s="25"/>
      <c r="D37" s="459" t="s">
        <v>287</v>
      </c>
      <c r="E37" s="460">
        <f>'Escenario nro 1'!H36</f>
        <v>0.84</v>
      </c>
      <c r="F37" s="25"/>
      <c r="G37" s="465" t="s">
        <v>287</v>
      </c>
      <c r="H37" s="468">
        <v>0.84</v>
      </c>
      <c r="I37" s="25"/>
      <c r="L37" s="982"/>
      <c r="O37" s="4"/>
    </row>
    <row r="38" spans="2:15" ht="15" thickBot="1" x14ac:dyDescent="0.35">
      <c r="B38" s="1"/>
      <c r="C38" s="25"/>
      <c r="D38" s="461" t="s">
        <v>288</v>
      </c>
      <c r="E38" s="462">
        <f>'Escenario nro 1'!H37</f>
        <v>5900381.9155108603</v>
      </c>
      <c r="F38" s="25"/>
      <c r="G38" s="466" t="s">
        <v>288</v>
      </c>
      <c r="H38" s="462">
        <f>+NPV(H37,E32:H32)</f>
        <v>8919164.1980726551</v>
      </c>
      <c r="I38" s="25"/>
      <c r="L38" s="983"/>
      <c r="O38" s="4"/>
    </row>
    <row r="39" spans="2:15" ht="15" thickBot="1" x14ac:dyDescent="0.35">
      <c r="B39" s="1"/>
      <c r="D39" s="463" t="s">
        <v>289</v>
      </c>
      <c r="E39" s="464">
        <f>'Escenario nro 1'!H38</f>
        <v>1.8130090989289047</v>
      </c>
      <c r="F39" s="25"/>
      <c r="G39" s="467" t="s">
        <v>289</v>
      </c>
      <c r="H39" s="464">
        <f>+IRR(E32:H32,H37)</f>
        <v>2.1640525959393173</v>
      </c>
      <c r="I39" s="25"/>
      <c r="O39" s="4"/>
    </row>
    <row r="40" spans="2:15" ht="15" thickBot="1" x14ac:dyDescent="0.35">
      <c r="B40" s="1"/>
      <c r="D40" s="25"/>
      <c r="E40" s="25"/>
      <c r="F40" s="25"/>
      <c r="G40" s="25"/>
      <c r="H40" s="25"/>
      <c r="I40" s="25"/>
      <c r="J40" s="25"/>
      <c r="L40" s="973" t="s">
        <v>346</v>
      </c>
      <c r="M40" s="974"/>
      <c r="O40" s="4"/>
    </row>
    <row r="41" spans="2:15" x14ac:dyDescent="0.3">
      <c r="B41" s="1"/>
      <c r="C41" s="956" t="s">
        <v>348</v>
      </c>
      <c r="D41" s="957"/>
      <c r="E41" s="957"/>
      <c r="F41" s="957"/>
      <c r="G41" s="957"/>
      <c r="H41" s="958"/>
      <c r="L41" s="408" t="s">
        <v>399</v>
      </c>
      <c r="M41" s="469">
        <v>11800000</v>
      </c>
      <c r="O41" s="4"/>
    </row>
    <row r="42" spans="2:15" ht="15" thickBot="1" x14ac:dyDescent="0.35">
      <c r="B42" s="1"/>
      <c r="C42" s="959"/>
      <c r="D42" s="960"/>
      <c r="E42" s="960"/>
      <c r="F42" s="960"/>
      <c r="G42" s="960"/>
      <c r="H42" s="961"/>
      <c r="L42" s="409" t="s">
        <v>400</v>
      </c>
      <c r="M42" s="469">
        <v>5900000</v>
      </c>
      <c r="O42" s="4"/>
    </row>
    <row r="43" spans="2:15" ht="17.25" customHeight="1" x14ac:dyDescent="0.3">
      <c r="B43" s="1"/>
      <c r="C43" s="962" t="s">
        <v>407</v>
      </c>
      <c r="D43" s="963"/>
      <c r="E43" s="963"/>
      <c r="F43" s="963"/>
      <c r="G43" s="963"/>
      <c r="H43" s="964"/>
      <c r="L43" s="409" t="s">
        <v>400</v>
      </c>
      <c r="M43" s="469">
        <v>1750000</v>
      </c>
      <c r="O43" s="4"/>
    </row>
    <row r="44" spans="2:15" ht="15.75" customHeight="1" x14ac:dyDescent="0.3">
      <c r="B44" s="1"/>
      <c r="C44" s="965"/>
      <c r="D44" s="966"/>
      <c r="E44" s="966"/>
      <c r="F44" s="966"/>
      <c r="G44" s="966"/>
      <c r="H44" s="967"/>
      <c r="L44" s="409" t="s">
        <v>400</v>
      </c>
      <c r="M44" s="469">
        <v>4510000</v>
      </c>
      <c r="O44" s="4"/>
    </row>
    <row r="45" spans="2:15" ht="15" thickBot="1" x14ac:dyDescent="0.35">
      <c r="B45" s="1"/>
      <c r="C45" s="968"/>
      <c r="D45" s="969"/>
      <c r="E45" s="969"/>
      <c r="F45" s="969"/>
      <c r="G45" s="969"/>
      <c r="H45" s="970"/>
      <c r="L45" s="409" t="s">
        <v>400</v>
      </c>
      <c r="M45" s="469">
        <v>730150</v>
      </c>
      <c r="O45" s="4"/>
    </row>
    <row r="46" spans="2:15" ht="15" thickBot="1" x14ac:dyDescent="0.35">
      <c r="B46" s="6"/>
      <c r="C46" s="7"/>
      <c r="D46" s="7"/>
      <c r="E46" s="7"/>
      <c r="F46" s="7"/>
      <c r="G46" s="7"/>
      <c r="H46" s="7"/>
      <c r="I46" s="7"/>
      <c r="J46" s="7"/>
      <c r="K46" s="7"/>
      <c r="L46" s="7"/>
      <c r="M46" s="7"/>
      <c r="N46" s="7"/>
      <c r="O46" s="458"/>
    </row>
  </sheetData>
  <mergeCells count="16">
    <mergeCell ref="E1:K1"/>
    <mergeCell ref="F6:H6"/>
    <mergeCell ref="F14:H14"/>
    <mergeCell ref="C4:N4"/>
    <mergeCell ref="J7:J9"/>
    <mergeCell ref="J11:J13"/>
    <mergeCell ref="L7:L38"/>
    <mergeCell ref="D36:E36"/>
    <mergeCell ref="C41:H42"/>
    <mergeCell ref="C43:H45"/>
    <mergeCell ref="C14:D14"/>
    <mergeCell ref="G36:H36"/>
    <mergeCell ref="L40:M40"/>
    <mergeCell ref="E18:H18"/>
    <mergeCell ref="C24:C26"/>
    <mergeCell ref="C34:D34"/>
  </mergeCells>
  <pageMargins left="0.7" right="0.7" top="0.75" bottom="0.75" header="0.3" footer="0.3"/>
  <pageSetup orientation="portrait" r:id="rId1"/>
  <drawing r:id="rId2"/>
  <legacyDrawing r:id="rId3"/>
  <controls>
    <mc:AlternateContent xmlns:mc="http://schemas.openxmlformats.org/markup-compatibility/2006">
      <mc:Choice Requires="x14">
        <control shapeId="21505" r:id="rId4" name="btnIndice">
          <controlPr defaultSize="0" autoLine="0" r:id="rId5">
            <anchor moveWithCells="1">
              <from>
                <xdr:col>1</xdr:col>
                <xdr:colOff>15240</xdr:colOff>
                <xdr:row>0</xdr:row>
                <xdr:rowOff>121920</xdr:rowOff>
              </from>
              <to>
                <xdr:col>2</xdr:col>
                <xdr:colOff>891540</xdr:colOff>
                <xdr:row>0</xdr:row>
                <xdr:rowOff>419100</xdr:rowOff>
              </to>
            </anchor>
          </controlPr>
        </control>
      </mc:Choice>
      <mc:Fallback>
        <control shapeId="21505" r:id="rId4" name="btnIndice"/>
      </mc:Fallback>
    </mc:AlternateContent>
    <mc:AlternateContent xmlns:mc="http://schemas.openxmlformats.org/markup-compatibility/2006">
      <mc:Choice Requires="x14">
        <control shapeId="21506" r:id="rId6" name="btnAnterior">
          <controlPr defaultSize="0" autoLine="0" r:id="rId7">
            <anchor moveWithCells="1">
              <from>
                <xdr:col>10</xdr:col>
                <xdr:colOff>266700</xdr:colOff>
                <xdr:row>0</xdr:row>
                <xdr:rowOff>129540</xdr:rowOff>
              </from>
              <to>
                <xdr:col>11</xdr:col>
                <xdr:colOff>807720</xdr:colOff>
                <xdr:row>0</xdr:row>
                <xdr:rowOff>426720</xdr:rowOff>
              </to>
            </anchor>
          </controlPr>
        </control>
      </mc:Choice>
      <mc:Fallback>
        <control shapeId="21506" r:id="rId6" name="btnAnterior"/>
      </mc:Fallback>
    </mc:AlternateContent>
    <mc:AlternateContent xmlns:mc="http://schemas.openxmlformats.org/markup-compatibility/2006">
      <mc:Choice Requires="x14">
        <control shapeId="21507" r:id="rId8" name="btnSiguiente">
          <controlPr defaultSize="0" autoLine="0" r:id="rId9">
            <anchor moveWithCells="1">
              <from>
                <xdr:col>11</xdr:col>
                <xdr:colOff>777240</xdr:colOff>
                <xdr:row>0</xdr:row>
                <xdr:rowOff>121920</xdr:rowOff>
              </from>
              <to>
                <xdr:col>11</xdr:col>
                <xdr:colOff>2446020</xdr:colOff>
                <xdr:row>0</xdr:row>
                <xdr:rowOff>419100</xdr:rowOff>
              </to>
            </anchor>
          </controlPr>
        </control>
      </mc:Choice>
      <mc:Fallback>
        <control shapeId="21507" r:id="rId8" name="btnSiguien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1"/>
  <dimension ref="B1:J14"/>
  <sheetViews>
    <sheetView showGridLines="0" workbookViewId="0">
      <selection activeCell="E4" sqref="E4"/>
    </sheetView>
  </sheetViews>
  <sheetFormatPr baseColWidth="10" defaultRowHeight="14.4" x14ac:dyDescent="0.3"/>
  <cols>
    <col min="2" max="2" width="15.6640625" customWidth="1"/>
    <col min="4" max="4" width="11.33203125" customWidth="1"/>
    <col min="5" max="5" width="17.33203125" customWidth="1"/>
    <col min="6" max="6" width="20.88671875" customWidth="1"/>
    <col min="7" max="7" width="36.88671875" customWidth="1"/>
    <col min="8" max="9" width="12.6640625" bestFit="1" customWidth="1"/>
    <col min="10" max="10" width="13.6640625" bestFit="1" customWidth="1"/>
  </cols>
  <sheetData>
    <row r="1" spans="2:10" ht="52.5" customHeight="1" x14ac:dyDescent="0.3"/>
    <row r="2" spans="2:10" ht="18" customHeight="1" thickBot="1" x14ac:dyDescent="0.35"/>
    <row r="3" spans="2:10" ht="14.25" customHeight="1" thickBot="1" x14ac:dyDescent="0.35">
      <c r="E3" s="487">
        <v>2021</v>
      </c>
      <c r="F3" s="487">
        <v>2022</v>
      </c>
      <c r="G3" s="487">
        <v>2023</v>
      </c>
    </row>
    <row r="4" spans="2:10" ht="14.25" customHeight="1" thickBot="1" x14ac:dyDescent="0.35">
      <c r="B4" s="984" t="s">
        <v>58</v>
      </c>
      <c r="C4" s="985"/>
      <c r="D4" s="484" t="s">
        <v>265</v>
      </c>
      <c r="E4" s="485">
        <f>'Modelo de ingresos'!$C$20</f>
        <v>37200000</v>
      </c>
      <c r="F4" s="485">
        <f>'Modelo de ingresos'!$D$20</f>
        <v>74400000</v>
      </c>
      <c r="G4" s="486">
        <f>'Modelo de ingresos'!$E$20</f>
        <v>115955000</v>
      </c>
    </row>
    <row r="5" spans="2:10" ht="14.25" customHeight="1" x14ac:dyDescent="0.3"/>
    <row r="6" spans="2:10" ht="14.25" customHeight="1" x14ac:dyDescent="0.3"/>
    <row r="7" spans="2:10" ht="15" thickBot="1" x14ac:dyDescent="0.35"/>
    <row r="8" spans="2:10" ht="30" customHeight="1" thickBot="1" x14ac:dyDescent="0.35">
      <c r="C8" s="986" t="s">
        <v>409</v>
      </c>
      <c r="D8" s="987"/>
      <c r="E8" s="988"/>
      <c r="H8" s="986" t="s">
        <v>410</v>
      </c>
      <c r="I8" s="987"/>
      <c r="J8" s="988"/>
    </row>
    <row r="9" spans="2:10" ht="30" customHeight="1" thickBot="1" x14ac:dyDescent="0.35">
      <c r="C9" s="488" t="s">
        <v>88</v>
      </c>
      <c r="D9" s="489" t="s">
        <v>89</v>
      </c>
      <c r="E9" s="490" t="s">
        <v>198</v>
      </c>
      <c r="H9" s="488" t="s">
        <v>88</v>
      </c>
      <c r="I9" s="489" t="s">
        <v>89</v>
      </c>
      <c r="J9" s="490" t="s">
        <v>198</v>
      </c>
    </row>
    <row r="10" spans="2:10" x14ac:dyDescent="0.3">
      <c r="B10" s="481" t="s">
        <v>252</v>
      </c>
      <c r="C10" s="491">
        <f>'Presupuesto financiero'!E13/'Presupuesto financiero'!$E$12</f>
        <v>0.21212903225806451</v>
      </c>
      <c r="D10" s="492">
        <f>'Presupuesto financiero'!F13/'Presupuesto financiero'!$F$12</f>
        <v>0.16091935483870967</v>
      </c>
      <c r="E10" s="493">
        <f>'Presupuesto financiero'!G13/'Presupuesto financiero'!$G$12</f>
        <v>0.16311845112328058</v>
      </c>
      <c r="G10" s="481" t="s">
        <v>75</v>
      </c>
      <c r="H10" s="497">
        <f>'Costos fijos'!Q24</f>
        <v>1920000</v>
      </c>
      <c r="I10" s="498">
        <f>'Costos fijos'!Q43</f>
        <v>2520000</v>
      </c>
      <c r="J10" s="499">
        <f>'Costos fijos'!Q62</f>
        <v>4920000</v>
      </c>
    </row>
    <row r="11" spans="2:10" x14ac:dyDescent="0.3">
      <c r="B11" s="482" t="s">
        <v>253</v>
      </c>
      <c r="C11" s="491">
        <f>'Presupuesto financiero'!E14/'Presupuesto financiero'!$E$12</f>
        <v>0.25847419354838708</v>
      </c>
      <c r="D11" s="492">
        <f>'Presupuesto financiero'!F14/'Presupuesto financiero'!$F$12</f>
        <v>0.24373279569892473</v>
      </c>
      <c r="E11" s="493">
        <f>'Presupuesto financiero'!G14/'Presupuesto financiero'!$G$12</f>
        <v>0.23645120952093485</v>
      </c>
      <c r="G11" s="482" t="s">
        <v>401</v>
      </c>
      <c r="H11" s="497">
        <f>'Costos variables'!AB66</f>
        <v>3600000</v>
      </c>
      <c r="I11" s="498">
        <f>'Costos variables'!AB88</f>
        <v>5400000</v>
      </c>
      <c r="J11" s="499">
        <f>'Costos variables'!AB110</f>
        <v>7200000</v>
      </c>
    </row>
    <row r="12" spans="2:10" ht="15" thickBot="1" x14ac:dyDescent="0.35">
      <c r="B12" s="483" t="s">
        <v>254</v>
      </c>
      <c r="C12" s="494">
        <f>'Presupuesto financiero'!E15/'Presupuesto financiero'!$E$12</f>
        <v>0.83550942436693554</v>
      </c>
      <c r="D12" s="495">
        <f>'Presupuesto financiero'!F15/'Presupuesto financiero'!$F$12</f>
        <v>0.53659142600000009</v>
      </c>
      <c r="E12" s="496">
        <f>'Presupuesto financiero'!G15/'Presupuesto financiero'!$G$12</f>
        <v>0.56080528489845183</v>
      </c>
      <c r="G12" s="482" t="s">
        <v>95</v>
      </c>
      <c r="H12" s="500">
        <f>'Costos variables'!AB67</f>
        <v>525000</v>
      </c>
      <c r="I12" s="501">
        <f>'Costos variables'!AB89</f>
        <v>900000</v>
      </c>
      <c r="J12" s="502">
        <f>'Costos variables'!AB111</f>
        <v>1350000</v>
      </c>
    </row>
    <row r="13" spans="2:10" ht="15" thickBot="1" x14ac:dyDescent="0.35">
      <c r="G13" s="503" t="s">
        <v>412</v>
      </c>
      <c r="H13" s="504">
        <f>H10+H11+H12</f>
        <v>6045000</v>
      </c>
      <c r="I13" s="505">
        <f>I10+I11+I12</f>
        <v>8820000</v>
      </c>
      <c r="J13" s="506">
        <f>J10+J11+J12</f>
        <v>13470000</v>
      </c>
    </row>
    <row r="14" spans="2:10" ht="15" thickBot="1" x14ac:dyDescent="0.35">
      <c r="G14" s="507" t="s">
        <v>411</v>
      </c>
      <c r="H14" s="508">
        <f>H13/E4</f>
        <v>0.16250000000000001</v>
      </c>
      <c r="I14" s="508">
        <f>I13/F4</f>
        <v>0.11854838709677419</v>
      </c>
      <c r="J14" s="508">
        <f>J13/G4</f>
        <v>0.11616575395627614</v>
      </c>
    </row>
  </sheetData>
  <mergeCells count="3">
    <mergeCell ref="B4:C4"/>
    <mergeCell ref="C8:E8"/>
    <mergeCell ref="H8:J8"/>
  </mergeCells>
  <pageMargins left="0.7" right="0.7" top="0.75" bottom="0.75" header="0.3" footer="0.3"/>
  <pageSetup orientation="portrait" r:id="rId1"/>
  <drawing r:id="rId2"/>
  <legacyDrawing r:id="rId3"/>
  <controls>
    <mc:AlternateContent xmlns:mc="http://schemas.openxmlformats.org/markup-compatibility/2006">
      <mc:Choice Requires="x14">
        <control shapeId="22529" r:id="rId4" name="btnIndice">
          <controlPr defaultSize="0" autoLine="0" r:id="rId5">
            <anchor moveWithCells="1">
              <from>
                <xdr:col>1</xdr:col>
                <xdr:colOff>15240</xdr:colOff>
                <xdr:row>0</xdr:row>
                <xdr:rowOff>121920</xdr:rowOff>
              </from>
              <to>
                <xdr:col>2</xdr:col>
                <xdr:colOff>609600</xdr:colOff>
                <xdr:row>0</xdr:row>
                <xdr:rowOff>419100</xdr:rowOff>
              </to>
            </anchor>
          </controlPr>
        </control>
      </mc:Choice>
      <mc:Fallback>
        <control shapeId="22529" r:id="rId4" name="btnIndice"/>
      </mc:Fallback>
    </mc:AlternateContent>
    <mc:AlternateContent xmlns:mc="http://schemas.openxmlformats.org/markup-compatibility/2006">
      <mc:Choice Requires="x14">
        <control shapeId="22530" r:id="rId6" name="btnAnterior">
          <controlPr defaultSize="0" autoLine="0" r:id="rId7">
            <anchor moveWithCells="1">
              <from>
                <xdr:col>7</xdr:col>
                <xdr:colOff>601980</xdr:colOff>
                <xdr:row>0</xdr:row>
                <xdr:rowOff>152400</xdr:rowOff>
              </from>
              <to>
                <xdr:col>9</xdr:col>
                <xdr:colOff>533400</xdr:colOff>
                <xdr:row>0</xdr:row>
                <xdr:rowOff>449580</xdr:rowOff>
              </to>
            </anchor>
          </controlPr>
        </control>
      </mc:Choice>
      <mc:Fallback>
        <control shapeId="22530" r:id="rId6" name="btnAnterior"/>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19</vt:i4>
      </vt:variant>
    </vt:vector>
  </HeadingPairs>
  <TitlesOfParts>
    <vt:vector size="19" baseType="lpstr">
      <vt:lpstr>Carátula</vt:lpstr>
      <vt:lpstr>Hipótesis</vt:lpstr>
      <vt:lpstr>Índice</vt:lpstr>
      <vt:lpstr>Proyección de ventas</vt:lpstr>
      <vt:lpstr>Anexo - Capacidad operativa</vt:lpstr>
      <vt:lpstr>Modelo de ingresos</vt:lpstr>
      <vt:lpstr>Costos fijos</vt:lpstr>
      <vt:lpstr>Costos variables</vt:lpstr>
      <vt:lpstr>Costos RRHH</vt:lpstr>
      <vt:lpstr>Modelo de egresos</vt:lpstr>
      <vt:lpstr>Modelo de inversión</vt:lpstr>
      <vt:lpstr>Amortización</vt:lpstr>
      <vt:lpstr>Presupuesto financiero</vt:lpstr>
      <vt:lpstr>Matriz de riesgo</vt:lpstr>
      <vt:lpstr>Escenario nro 1</vt:lpstr>
      <vt:lpstr>Escenario nro 2</vt:lpstr>
      <vt:lpstr>Escenario nro 3</vt:lpstr>
      <vt:lpstr>Plan de contingencia</vt:lpstr>
      <vt:lpstr>Hoja auxiliar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Matias</dc:creator>
  <cp:lastModifiedBy>Martina Celada</cp:lastModifiedBy>
  <dcterms:created xsi:type="dcterms:W3CDTF">2020-09-05T22:49:06Z</dcterms:created>
  <dcterms:modified xsi:type="dcterms:W3CDTF">2023-07-04T20:03:53Z</dcterms:modified>
</cp:coreProperties>
</file>